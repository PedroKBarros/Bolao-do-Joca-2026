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9dda16fe67a6f7/Projetos/web/bolao_joca_2026/docs/"/>
    </mc:Choice>
  </mc:AlternateContent>
  <xr:revisionPtr revIDLastSave="1339" documentId="8_{4C7EA746-D85F-4F84-BA3D-238B86B0A124}" xr6:coauthVersionLast="47" xr6:coauthVersionMax="47" xr10:uidLastSave="{77959C94-94DF-483E-ACE8-FD5549F534AC}"/>
  <bookViews>
    <workbookView xWindow="-108" yWindow="-108" windowWidth="23256" windowHeight="12456" xr2:uid="{6539557A-7FB6-4962-AF1F-D970E35E4DF3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" l="1"/>
  <c r="M6" i="1"/>
  <c r="M8" i="1"/>
  <c r="M7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C29" i="1"/>
  <c r="C30" i="1"/>
  <c r="C31" i="1"/>
  <c r="C32" i="1"/>
  <c r="D24" i="1" l="1"/>
  <c r="J24" i="1" s="1"/>
  <c r="F24" i="1"/>
  <c r="G24" i="1" s="1"/>
  <c r="H24" i="1"/>
  <c r="I24" i="1"/>
  <c r="D25" i="1"/>
  <c r="J25" i="1" s="1"/>
  <c r="F25" i="1"/>
  <c r="H25" i="1"/>
  <c r="H32" i="1" s="1"/>
  <c r="I25" i="1"/>
  <c r="I32" i="1" s="1"/>
  <c r="D23" i="1"/>
  <c r="J23" i="1" s="1"/>
  <c r="F23" i="1"/>
  <c r="G23" i="1" s="1"/>
  <c r="H23" i="1"/>
  <c r="I23" i="1"/>
  <c r="D22" i="1"/>
  <c r="J22" i="1" s="1"/>
  <c r="F22" i="1"/>
  <c r="H22" i="1"/>
  <c r="I22" i="1"/>
  <c r="D21" i="1"/>
  <c r="J21" i="1" s="1"/>
  <c r="F21" i="1"/>
  <c r="H21" i="1"/>
  <c r="H30" i="1" s="1"/>
  <c r="I21" i="1"/>
  <c r="I30" i="1" s="1"/>
  <c r="K2" i="1"/>
  <c r="C2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F6" i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D6" i="1"/>
  <c r="J6" i="1" s="1"/>
  <c r="D7" i="1"/>
  <c r="J7" i="1" s="1"/>
  <c r="D8" i="1"/>
  <c r="D9" i="1"/>
  <c r="D10" i="1"/>
  <c r="J10" i="1" s="1"/>
  <c r="D11" i="1"/>
  <c r="J11" i="1" s="1"/>
  <c r="D12" i="1"/>
  <c r="J12" i="1" s="1"/>
  <c r="D13" i="1"/>
  <c r="J13" i="1" s="1"/>
  <c r="D14" i="1"/>
  <c r="D15" i="1"/>
  <c r="J15" i="1" s="1"/>
  <c r="D16" i="1"/>
  <c r="D17" i="1"/>
  <c r="D18" i="1"/>
  <c r="J18" i="1" s="1"/>
  <c r="D19" i="1"/>
  <c r="J19" i="1" s="1"/>
  <c r="D20" i="1"/>
  <c r="J20" i="1" s="1"/>
  <c r="J14" i="1" l="1"/>
  <c r="J17" i="1"/>
  <c r="J16" i="1"/>
  <c r="J8" i="1"/>
  <c r="I31" i="1"/>
  <c r="H31" i="1"/>
  <c r="J32" i="1"/>
  <c r="H29" i="1"/>
  <c r="D30" i="1"/>
  <c r="J30" i="1"/>
  <c r="E20" i="1"/>
  <c r="I29" i="1"/>
  <c r="F29" i="1"/>
  <c r="G22" i="1"/>
  <c r="F31" i="1"/>
  <c r="G31" i="1" s="1"/>
  <c r="G25" i="1"/>
  <c r="F32" i="1"/>
  <c r="G32" i="1" s="1"/>
  <c r="D29" i="1"/>
  <c r="D31" i="1"/>
  <c r="E25" i="1"/>
  <c r="D32" i="1"/>
  <c r="F30" i="1"/>
  <c r="G30" i="1" s="1"/>
  <c r="G21" i="1"/>
  <c r="E24" i="1"/>
  <c r="E23" i="1"/>
  <c r="E22" i="1"/>
  <c r="E21" i="1"/>
  <c r="E14" i="1"/>
  <c r="E13" i="1"/>
  <c r="E12" i="1"/>
  <c r="E19" i="1"/>
  <c r="E11" i="1"/>
  <c r="E18" i="1"/>
  <c r="E10" i="1"/>
  <c r="E17" i="1"/>
  <c r="E9" i="1"/>
  <c r="E16" i="1"/>
  <c r="E8" i="1"/>
  <c r="E15" i="1"/>
  <c r="E7" i="1"/>
  <c r="J31" i="1" l="1"/>
  <c r="J29" i="1"/>
  <c r="E32" i="1"/>
  <c r="E30" i="1"/>
  <c r="E31" i="1"/>
  <c r="E29" i="1" l="1"/>
  <c r="G6" i="1"/>
  <c r="G29" i="1"/>
  <c r="G2" i="1"/>
  <c r="E6" i="1"/>
</calcChain>
</file>

<file path=xl/sharedStrings.xml><?xml version="1.0" encoding="utf-8"?>
<sst xmlns="http://schemas.openxmlformats.org/spreadsheetml/2006/main" count="464" uniqueCount="110">
  <si>
    <t>Esforço Total (min)</t>
  </si>
  <si>
    <t>Esforço Restante (min)</t>
  </si>
  <si>
    <t>Esforço (min)</t>
  </si>
  <si>
    <t>Status</t>
  </si>
  <si>
    <t>Observação</t>
  </si>
  <si>
    <t>DESIGN</t>
  </si>
  <si>
    <t>FUNC</t>
  </si>
  <si>
    <t>Design</t>
  </si>
  <si>
    <t>NÃO INICIADO</t>
  </si>
  <si>
    <t>Previsão Início</t>
  </si>
  <si>
    <t>Previsão Conclusão</t>
  </si>
  <si>
    <t>Validar Dados Front e Back</t>
  </si>
  <si>
    <t>Validar Pergunta (Back)</t>
  </si>
  <si>
    <t>CONCLUÍDO</t>
  </si>
  <si>
    <t>Armazenar dados (back)</t>
  </si>
  <si>
    <t>Esforço de Hoje (min):</t>
  </si>
  <si>
    <t>Esforço Máximo p/ Dia (min):</t>
  </si>
  <si>
    <t>Esforço de Amanhã (min):</t>
  </si>
  <si>
    <t>Validar dados Front e Back</t>
  </si>
  <si>
    <t>TESTE-API</t>
  </si>
  <si>
    <t>Elaborar Testes</t>
  </si>
  <si>
    <t>Executar Testes</t>
  </si>
  <si>
    <t>Ignorar os concluídos</t>
  </si>
  <si>
    <t>Desenvolver filtragem</t>
  </si>
  <si>
    <t>Exibir lista com bolões e as opções dos bolões de acordo com o tipo de usuário (adm ou não) e com filtro selecionado</t>
  </si>
  <si>
    <t>Exibir tela com ícone de jogador quando usuário não tiver bolões</t>
  </si>
  <si>
    <t>Exibir botões superiores de acordo com tipo de usuário</t>
  </si>
  <si>
    <t>Exibir dados e opções de acordo com tipo de usuário (é adm ou não e criou o bolão ou não) e se o bolão está encerrado ou não</t>
  </si>
  <si>
    <t>Design da modal</t>
  </si>
  <si>
    <t>Design da modal exigindo palavra-chave quando usuário não for adm e não for o criador e, caso contrário, apenas msg de confirmação</t>
  </si>
  <si>
    <t>Desenvolver opções "Copiar link", "Copiar link Whatsapp", "Encerrar bolão" e "voltar". O encerramento do bolão deve gerar registro no log.</t>
  </si>
  <si>
    <t>Validar palavra-chave</t>
  </si>
  <si>
    <t>Direcionar p/ página de login</t>
  </si>
  <si>
    <t>Direcionar p/ página de cadastro</t>
  </si>
  <si>
    <t>Registrar entrada no log e direcionar p/ página do bolão</t>
  </si>
  <si>
    <t>Verificar se usuário pode editar bolão (criador/adm)</t>
  </si>
  <si>
    <t>Verificar se usuário pode gerenciar (criador/adm)</t>
  </si>
  <si>
    <t>Armazenar dados (back) e registrar alterações no log</t>
  </si>
  <si>
    <t>Exibir lista de participantes com status e opção de remoção</t>
  </si>
  <si>
    <t>Desenvolver confirmação de remoções e registar remoções no log</t>
  </si>
  <si>
    <t>Exibir registros do log do mais recente para o mais antigo</t>
  </si>
  <si>
    <t>Colocar exibição do log relacionada ao respectivo botão da página de cada bolão</t>
  </si>
  <si>
    <t>Exibição da modal de instruções</t>
  </si>
  <si>
    <t>Desenvolvimento do save</t>
  </si>
  <si>
    <t>Exibição dos dados dos jogos, dados de preenchimento, status dos grupos e da fase e tabela de colocação das seleções por grupo</t>
  </si>
  <si>
    <t>Desenvolvimento do desempate manual</t>
  </si>
  <si>
    <t>Adicionar os devidos registros no log</t>
  </si>
  <si>
    <t>Exibição dos dados dos jogos, dados de preenchimento, status dos jogos e de cada fase</t>
  </si>
  <si>
    <t>Exibir e desenvolver opções de baixar resposta e voltar</t>
  </si>
  <si>
    <t>Concluir desenvolvimento de demais opções que dependiam de outras páginas/modais</t>
  </si>
  <si>
    <t>Exibir "Baixar resposta" no lugar de "Preencher" quando usuário tiver enviado respostas</t>
  </si>
  <si>
    <t>Executar Todos os Testes</t>
  </si>
  <si>
    <t>Atividade</t>
  </si>
  <si>
    <t>Tarefa</t>
  </si>
  <si>
    <t>Desenv. Pg. Cadastro</t>
  </si>
  <si>
    <t>Desenv. Pg. Home</t>
  </si>
  <si>
    <t>Desenv. Pg. Login</t>
  </si>
  <si>
    <t>Desenv. Pg. Bolões do Usuário</t>
  </si>
  <si>
    <t>Desenv. Mdl. Criar Bolão</t>
  </si>
  <si>
    <t>Desenv. Mdl. Entrar Bolão</t>
  </si>
  <si>
    <t>Desenv. Mdl. Editar Bolão</t>
  </si>
  <si>
    <t>Desenv. Mdl. Gerenciar Participantes</t>
  </si>
  <si>
    <t>Desenv. Mdl. Log de Bolão</t>
  </si>
  <si>
    <t>Desenv. Mdl. Desempate F. Grupos</t>
  </si>
  <si>
    <t>Desenv. Mdl. Desempate F. Mata-mata</t>
  </si>
  <si>
    <t>Desenv. Pg. Bolão</t>
  </si>
  <si>
    <t>Desenv. Pg. Preenchimento Bolão F. Grupos</t>
  </si>
  <si>
    <t>Desenv. Pg. Preenchimento Bolão F. Mata-mata</t>
  </si>
  <si>
    <t>Desenv. Pg. Pós-envio das respostas</t>
  </si>
  <si>
    <t>Total Tarefas</t>
  </si>
  <si>
    <t>Total Tar. Não Concluídos</t>
  </si>
  <si>
    <t>Testes E2E</t>
  </si>
  <si>
    <t>Hospedagem</t>
  </si>
  <si>
    <t>Fase</t>
  </si>
  <si>
    <t>F1-DESENV</t>
  </si>
  <si>
    <t>F2-TESTE</t>
  </si>
  <si>
    <t>Suporte</t>
  </si>
  <si>
    <t>F4-SUPORTE</t>
  </si>
  <si>
    <t>Tipo Tarefa</t>
  </si>
  <si>
    <t>TESTE-E2E</t>
  </si>
  <si>
    <t>Realizar Possíveis Correções na Aplicação</t>
  </si>
  <si>
    <t>Executar Testes Novamente, caso correções tenham sido realizadas</t>
  </si>
  <si>
    <t>Testes de Carga</t>
  </si>
  <si>
    <t>Definir serviço de hospedagem</t>
  </si>
  <si>
    <t>OUTRO</t>
  </si>
  <si>
    <t>Hospedar aplicação - Parte 2 de 2</t>
  </si>
  <si>
    <t>Hospedar aplicação - Parte 1 de 2</t>
  </si>
  <si>
    <t>Executar todos os Testes de API no ambiente de prod</t>
  </si>
  <si>
    <t>Executar todos os Testes E2E no ambiente de prod</t>
  </si>
  <si>
    <t>Elaborar Testes de Carga</t>
  </si>
  <si>
    <t>TESTE-CARGA</t>
  </si>
  <si>
    <t>Executar Testes de Carga em Prod</t>
  </si>
  <si>
    <t>Disponibilização para Cliente</t>
  </si>
  <si>
    <t>Sugerir realização de teste de aceitação</t>
  </si>
  <si>
    <t>Dar suporte aos usuários e demais interessados</t>
  </si>
  <si>
    <t>Colocar agendamento diário de 16/03 até 05/04 para execução dos testes de API e testes E2E em Prod afim de verificar a estabilidade da aplicação/servidor</t>
  </si>
  <si>
    <t>Tarefas por Atividade, Esforço e Previsão de Início e Término</t>
  </si>
  <si>
    <t>Atividades, Esforço e Previsão de Início e Término</t>
  </si>
  <si>
    <t>Fases, Esforço e Previsão de Início e Término</t>
  </si>
  <si>
    <t>F3-LIBERAÇÃO</t>
  </si>
  <si>
    <t>Total Atividades</t>
  </si>
  <si>
    <t>Total Ativ. Não Concluídos</t>
  </si>
  <si>
    <t>O front valida apenas se os campos foram preenchidos e se as senhas são iguais.</t>
  </si>
  <si>
    <t>DESNECESSÁRIO</t>
  </si>
  <si>
    <t>Não é realizada comunicação com o back.</t>
  </si>
  <si>
    <t>Ver o motivo do TC12 estar falhando. Motivo: cadastrei usuário com mesmo número do user do teste. Removi user que havia cadastrado.</t>
  </si>
  <si>
    <t>Dt. Início</t>
  </si>
  <si>
    <t>Dt. Término</t>
  </si>
  <si>
    <t>Não esquecer de colocar o front e o back rodando na mesma porta, removendo as configurações de CORS em /backend/app.js</t>
  </si>
  <si>
    <t>Front valida apenas se campos foram preenchidos.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</si>
</sst>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  <xf numFmtId="49" fontId="2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center"/>
    </xf>
    <xf numFmtId="0" fontId="3" fillId="0" borderId="0" xfId="0" applyFont="1"/>
    <xf numFmtId="14" fontId="0" fillId="0" borderId="0" xfId="0" applyNumberFormat="1" applyAlignment="1">
      <alignment horizontal="center"/>
    </xf>
    <xf numFmtId="1" fontId="0" fillId="0" borderId="0" xfId="0" applyNumberFormat="1"/>
    <xf numFmtId="0" fontId="5" fillId="2" borderId="0" xfId="0" applyFont="1" applyFill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0" fillId="0" borderId="0" xfId="0" applyAlignment="1">
      <alignment horizontal="left" wrapText="1"/>
    </xf>
    <xf numFmtId="0" fontId="4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right"/>
    </xf>
    <xf numFmtId="49" fontId="6" fillId="0" borderId="0" xfId="0" applyNumberFormat="1" applyFont="1" applyAlignment="1">
      <alignment horizontal="left" wrapText="1"/>
    </xf>
  </cellXfs>
  <cellStyles count="1">
    <cellStyle name="Normal" xfId="0" builtinId="0"/>
  </cellStyles>
  <dxfs count="74">
    <dxf>
      <alignment horizontal="center" vertical="bottom" textRotation="0" wrapText="0" indent="0" justifyLastLine="0" shrinkToFit="0" readingOrder="0"/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font>
        <b/>
        <i val="0"/>
        <color rgb="FFFFC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color rgb="FFFFC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theme="1" tint="0.24994659260841701"/>
      </font>
    </dxf>
    <dxf>
      <font>
        <b/>
        <i val="0"/>
        <color rgb="FF0070C0"/>
      </font>
    </dxf>
    <dxf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</dxf>
    <dxf>
      <border outline="0">
        <left style="thin">
          <color theme="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0" tint="-0.14999847407452621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0" formatCode="General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5BB053-EB3A-4E40-A8BC-A78F33A29837}" name="TB_ATIVIDADES" displayName="TB_ATIVIDADES" ref="B5:J25" totalsRowShown="0" headerRowDxfId="73">
  <autoFilter ref="B5:J25" xr:uid="{5B5BB053-EB3A-4E40-A8BC-A78F33A29837}"/>
  <tableColumns count="9">
    <tableColumn id="1" xr3:uid="{133B85A6-0D6C-4028-BC52-AE2DC976F926}" name="Atividade" dataDxfId="72"/>
    <tableColumn id="2" xr3:uid="{6FE7715D-02A9-4997-BD30-E9DF048E827F}" name="Fase" dataDxfId="71"/>
    <tableColumn id="3" xr3:uid="{70B169C8-E6CE-4183-A582-F58E1E3CA98F}" name="Total Tarefas" dataDxfId="70">
      <calculatedColumnFormula>COUNTIF(TB_TAREFAS[Atividade],TB_ATIVIDADES[[#This Row],[Atividade]])</calculatedColumnFormula>
    </tableColumn>
    <tableColumn id="4" xr3:uid="{5635C374-8316-4EDF-8DA3-B132651F02F2}" name="Total Tar. Não Concluídos" dataDxfId="69">
      <calculatedColumnFormula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calculatedColumnFormula>
    </tableColumn>
    <tableColumn id="5" xr3:uid="{8A4292DC-B366-4866-9644-376AF11D10D0}" name="Esforço Total (min)" dataDxfId="68">
      <calculatedColumnFormula>SUMIF(TB_TAREFAS[Atividade],TB_ATIVIDADES[[#This Row],[Atividade]],TB_TAREFAS[Esforço (min)])</calculatedColumnFormula>
    </tableColumn>
    <tableColumn id="6" xr3:uid="{75A582BD-BEDE-41FF-9045-E7EF34F35FE9}" name="Esforço Restante (min)" dataDxfId="67">
      <calculatedColumnFormula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calculatedColumnFormula>
    </tableColumn>
    <tableColumn id="9" xr3:uid="{AB7110E3-F5B0-49CF-B913-AD84C5006449}" name="Previsão Início" dataDxfId="66">
      <calculatedColumnFormula>_xlfn.LET(_xlpm.dataMin,_xlfn.MINIFS(TB_TAREFAS[Previsão Início],TB_TAREFAS[Atividade],TB_ATIVIDADES[[#This Row],[Atividade]]),IF(_xlpm.dataMin=0,"-",_xlpm.dataMin))</calculatedColumnFormula>
    </tableColumn>
    <tableColumn id="8" xr3:uid="{34D659E1-E87D-43EA-BF57-6FE845772DAC}" name="Previsão Conclusão" dataDxfId="65">
      <calculatedColumnFormula>_xlfn.LET(_xlpm.dataMax,_xlfn.MAXIFS(TB_TAREFAS[Previsão Conclusão],TB_TAREFAS[Atividade],TB_ATIVIDADES[[#This Row],[Atividade]]),IF(_xlpm.dataMax=0,"-",_xlpm.dataMax))</calculatedColumnFormula>
    </tableColumn>
    <tableColumn id="7" xr3:uid="{CE966A0D-29D2-4080-A828-920E2B31B062}" name="Status" dataDxfId="18">
      <calculatedColumnFormula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2DBC73-0D36-42C9-B430-9B9AD5AD38E7}" name="TB_TAREFAS" displayName="TB_TAREFAS" ref="L5:V101" totalsRowShown="0" headerRowDxfId="64" dataDxfId="63">
  <autoFilter ref="L5:V101" xr:uid="{572DBC73-0D36-42C9-B430-9B9AD5AD38E7}"/>
  <tableColumns count="11">
    <tableColumn id="1" xr3:uid="{100980E9-18D5-4843-A78C-C05C05E4ABEA}" name="Atividade" dataDxfId="62"/>
    <tableColumn id="7" xr3:uid="{DD3AD290-CA5F-4EF2-9622-5EC97118A266}" name="Fase" dataDxfId="61">
      <calculatedColumnFormula>IF(TB_TAREFAS[[#This Row],[Atividade]]="","-",VLOOKUP(TB_TAREFAS[[#This Row],[Atividade]],TB_ATIVIDADES[[Atividade]:[Fase]],2,FALSE))</calculatedColumnFormula>
    </tableColumn>
    <tableColumn id="2" xr3:uid="{64165291-9725-4951-A79D-A817BE8E38D6}" name="Tarefa" dataDxfId="60"/>
    <tableColumn id="3" xr3:uid="{7465B18E-AEDB-4AF5-8EF7-4C65554A1EEF}" name="Tipo Tarefa" dataDxfId="59"/>
    <tableColumn id="4" xr3:uid="{CCBDCD8A-9EE8-49B8-8D87-A7C47BF01BB8}" name="Esforço (min)" dataDxfId="58"/>
    <tableColumn id="8" xr3:uid="{DD0364F7-0F79-45BD-AA42-52BD3C08403A}" name="Previsão Início" dataDxfId="57"/>
    <tableColumn id="9" xr3:uid="{3DEEFB19-87EB-4CC3-8E26-5676DE5C98AC}" name="Previsão Conclusão" dataDxfId="56"/>
    <tableColumn id="5" xr3:uid="{B2F8E403-5B76-4EF7-99DE-5A4FC874381E}" name="Status" dataDxfId="17"/>
    <tableColumn id="11" xr3:uid="{790F5EED-0D5E-419A-9C2F-C4300D40D8FE}" name="Dt. Início" dataDxfId="0"/>
    <tableColumn id="10" xr3:uid="{90415B3E-063A-4FB7-BBE3-ABDC4563A29B}" name="Dt. Término" dataDxfId="15"/>
    <tableColumn id="6" xr3:uid="{319C7256-A0D7-4103-B6AF-6ABC374692DE}" name="Observação" dataDxfId="16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CFED71-00A4-4DC7-905D-4FA1E2046620}" name="TB_FASES" displayName="TB_FASES" ref="B28:J32" totalsRowShown="0" headerRowDxfId="55" dataDxfId="54" tableBorderDxfId="53">
  <autoFilter ref="B28:J32" xr:uid="{F9CFED71-00A4-4DC7-905D-4FA1E2046620}"/>
  <tableColumns count="9">
    <tableColumn id="1" xr3:uid="{CFD4B541-D453-44F4-90A9-8CE6D35346EE}" name="Fase" dataDxfId="52"/>
    <tableColumn id="2" xr3:uid="{EF5AEE64-12F5-423C-899A-9159D6B01AED}" name="Total Atividades" dataDxfId="51">
      <calculatedColumnFormula>COUNTIF(TB_ATIVIDADES[Fase],TB_FASES[[#This Row],[Fase]])</calculatedColumnFormula>
    </tableColumn>
    <tableColumn id="3" xr3:uid="{F899738A-2E8A-4E5B-8E48-5C03FB21A83E}" name="Total Tarefas" dataDxfId="50">
      <calculatedColumnFormula>SUMIF(TB_ATIVIDADES[Fase],TB_FASES[[#This Row],[Fase]],TB_ATIVIDADES[Total Tarefas])</calculatedColumnFormula>
    </tableColumn>
    <tableColumn id="4" xr3:uid="{1E120C82-0295-47AD-B569-3E3CAA8BF636}" name="Total Ativ. Não Concluídos" dataDxfId="49">
      <calculatedColumnFormula>_xlfn.LET(_xlpm.tot,COUNTIFS(TB_ATIVIDADES[Fase],TB_FASES[[#This Row],[Fase]],TB_ATIVIDADES[Status],"&lt;&gt;" &amp; "CONCLUÍDO"),_xlpm.tot &amp; IF(TB_FASES[[#This Row],[Total Atividades]]=0,""," (" &amp; TEXT(_xlpm.tot/TB_FASES[[#This Row],[Total Atividades]],"0,0%") &amp; ")"))</calculatedColumnFormula>
    </tableColumn>
    <tableColumn id="5" xr3:uid="{15292CBD-628E-4AE0-AE6A-551483859FDB}" name="Esforço Total (min)" dataDxfId="48">
      <calculatedColumnFormula>SUMIF(TB_ATIVIDADES[Fase],TB_FASES[[#This Row],[Fase]],TB_ATIVIDADES[Esforço Total (min)])</calculatedColumnFormula>
    </tableColumn>
    <tableColumn id="6" xr3:uid="{AC728857-E733-4D92-8062-6AB5D36CC9D7}" name="Esforço Restante (min)" dataDxfId="47">
      <calculatedColumnFormula>_xlfn.LET(_xlpm.esforcoRealizado,SUMIFS(TB_TAREFAS[Esforço (min)],TB_TAREFAS[Fase],TB_FASES[[#This Row],[Fase]],TB_TAREFAS[Status],"CONCLUÍDO"),(TB_FASES[[#This Row],[Esforço Total (min)]]-_xlpm.esforcoRealizado) &amp; " ("&amp;TEXT((TB_FASES[[#This Row],[Esforço Total (min)]]-_xlpm.esforcoRealizado)/TB_FASES[[#This Row],[Esforço Total (min)]],"0,0%")&amp;")")</calculatedColumnFormula>
    </tableColumn>
    <tableColumn id="7" xr3:uid="{88CDF82C-24FF-4DA1-A4C9-FC586341CDA3}" name="Previsão Início" dataDxfId="46">
      <calculatedColumnFormula>_xlfn.MINIFS(TB_ATIVIDADES[Previsão Início],TB_ATIVIDADES[Fase],TB_FASES[[#This Row],[Fase]])</calculatedColumnFormula>
    </tableColumn>
    <tableColumn id="8" xr3:uid="{98BA73BA-36E4-4BD7-8984-D576EA5370BF}" name="Previsão Conclusão" dataDxfId="45">
      <calculatedColumnFormula>_xlfn.MAXIFS(TB_ATIVIDADES[Previsão Conclusão],TB_ATIVIDADES[Fase],TB_FASES[[#This Row],[Fase]])</calculatedColumnFormula>
    </tableColumn>
    <tableColumn id="9" xr3:uid="{A3148F63-CE97-4EC8-81F2-7F92EFCD0E47}" name="Status" dataDxfId="44">
      <calculatedColumnFormula>IF(TB_FASES[[#This Row],[Total Atividades]]=0,"-",_xlfn.LET(_xlpm.totAtivNaoConcluidas,COUNTIFS(TB_ATIVIDADES[Fase],TB_FASES[[#This Row],[Fase]],TB_ATIVIDADES[Status],"&lt;&gt;" &amp; "CONCLUÍDO"),_xlpm.totAtivConcluidas,TB_FASES[[#This Row],[Total Atividades]]-_xlpm.totAtivNaoConcluidas,_xlpm.totAtivNaoIniciadas,COUNTIFS(TB_ATIVIDADES[Fase],TB_FASES[[#This Row],[Fase]],TB_ATIVIDADES[Status],"NÃO INICIADO"),IF(_xlpm.totAtivConcluidas=TB_FASES[[#This Row],[Total Atividades]],"CONCLUÍDO",IF(_xlpm.totAtivNaoIniciadas=TB_FASES[[#This Row],[Total Atividades]],IF(AND(DATE(YEAR(NOW()),MONTH(NOW()),DAY(NOW())) &gt; IFERROR(DATE(YEAR(TB_FASES[[#This Row],[Previsão Início]]),MONTH(TB_FASES[[#This Row],[Previsão Início]]),DAY(TB_FASES[[#This Row],[Previsão Início]])),FALSE)),"EM ATRASO (INÍCIO)","NÃO INICIADO"),IF(AND(DATE(YEAR(NOW()),MONTH(NOW()),DAY(NOW())) &gt; IFERROR(DATE(YEAR(TB_FASES[[#This Row],[Previsão Conclusão]]),MONTH(TB_FASES[[#This Row],[Previsão Conclusão]]),DAY(TB_FASES[[#This Row],[Previsão Conclusão]])),FALSE)),"EM ATRASO (CONCLUSÃO)","EM ANDAMENTO")))))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0B3E5-1F96-4DF1-B45F-2CD7B640AF20}">
  <dimension ref="B2:AA101"/>
  <sheetViews>
    <sheetView tabSelected="1" topLeftCell="K4" workbookViewId="0">
      <selection activeCell="U13" sqref="U13"/>
    </sheetView>
  </sheetViews>
  <sheetFormatPr defaultRowHeight="14.4" x14ac:dyDescent="0.3"/>
  <cols>
    <col min="2" max="2" width="30" customWidth="1"/>
    <col min="3" max="3" width="13.33203125" customWidth="1"/>
    <col min="4" max="4" width="10.33203125" customWidth="1"/>
    <col min="5" max="5" width="14.5546875" customWidth="1"/>
    <col min="6" max="6" width="11.5546875" customWidth="1"/>
    <col min="7" max="7" width="14.6640625" customWidth="1"/>
    <col min="8" max="8" width="10.44140625" customWidth="1"/>
    <col min="9" max="9" width="13.44140625" customWidth="1"/>
    <col min="10" max="10" width="24.44140625" customWidth="1"/>
    <col min="12" max="12" width="23.44140625" customWidth="1"/>
    <col min="13" max="13" width="12" customWidth="1"/>
    <col min="14" max="14" width="24" customWidth="1"/>
    <col min="15" max="15" width="15.109375" customWidth="1"/>
    <col min="16" max="16" width="9.44140625" customWidth="1"/>
    <col min="17" max="17" width="12.109375" customWidth="1"/>
    <col min="18" max="18" width="13.44140625" customWidth="1"/>
    <col min="19" max="19" width="15.5546875" customWidth="1"/>
    <col min="20" max="21" width="14" customWidth="1"/>
    <col min="22" max="22" width="38.33203125" customWidth="1"/>
  </cols>
  <sheetData>
    <row r="2" spans="2:27" x14ac:dyDescent="0.3">
      <c r="B2" s="13" t="s">
        <v>16</v>
      </c>
      <c r="C2" s="14">
        <f>60*4</f>
        <v>240</v>
      </c>
      <c r="E2" s="22" t="s">
        <v>15</v>
      </c>
      <c r="F2" s="22"/>
      <c r="G2" s="14" t="str">
        <f ca="1">_xlfn.LET(_xlpm.dia,TODAY(),_xlpm.ignorarItensConcluidos,E3,_xlpm.esforco,SUMIFS(TB_TAREFAS[Esforço (min)],TB_TAREFAS[Previsão Início],_xlpm.dia,TB_TAREFAS[Previsão Conclusão],_xlpm.dia,TB_TAREFAS[Status],IF(_xlpm.ignorarItensConcluidos,"&lt;&gt;"&amp;"CONCLUÍDO","*"))+SUMIFS(TB_TAREFAS[Esforço (min)],TB_TAREFAS[Previsão Início],_xlpm.dia,TB_TAREFAS[Previsão Conclusão],"&lt;&gt;"&amp;_xlpm.dia,TB_TAREFAS[Status],IF(_xlpm.ignorarItensConcluidos,"&lt;&gt;"&amp;"CONCLUÍDO","*"))+SUMIFS(TB_TAREFAS[Esforço (min)],TB_TAREFAS[Previsão Início],"&lt;&gt;"&amp;_xlpm.dia,TB_TAREFAS[Previsão Conclusão],_xlpm.dia,TB_TAREFAS[Status],IF(_xlpm.ignorarItensConcluidos,"&lt;&gt;"&amp;"CONCLUÍDO","*")),_xlpm.esforcoHoras,_xlpm.esforco/60,_xlpm.esforcoHorasInteiras,INT(_xlpm.esforcoHoras),_xlpm.esforco &amp; " (" &amp; _xlpm.esforcoHorasInteiras &amp; "h" &amp; IF(_xlpm.esforcoHoras&lt;&gt;_xlpm.esforcoHorasInteiras," e " &amp;ROUNDUP(60*(_xlpm.esforcoHoras-_xlpm.esforcoHorasInteiras),0) &amp; "min","") &amp; ")")</f>
        <v>230 (3h e 50min)</v>
      </c>
      <c r="I2" s="22" t="s">
        <v>17</v>
      </c>
      <c r="J2" s="22"/>
      <c r="K2" s="14" t="str">
        <f ca="1">_xlfn.LET(_xlpm.dia,TODAY()+1,_xlpm.ignorarItensConcluidos,I3,_xlpm.esforco,SUMIFS(TB_TAREFAS[Esforço (min)],TB_TAREFAS[Previsão Início],_xlpm.dia,TB_TAREFAS[Previsão Conclusão],_xlpm.dia,TB_TAREFAS[Status],IF(_xlpm.ignorarItensConcluidos,"&lt;&gt;"&amp;"CONCLUÍDO","*"))+SUMIFS(TB_TAREFAS[Esforço (min)],TB_TAREFAS[Previsão Início],_xlpm.dia,TB_TAREFAS[Previsão Conclusão],"&lt;&gt;"&amp;_xlpm.dia,TB_TAREFAS[Status],IF(_xlpm.ignorarItensConcluidos,"&lt;&gt;"&amp;"CONCLUÍDO","*"))+SUMIFS(TB_TAREFAS[Esforço (min)],TB_TAREFAS[Previsão Início],"&lt;&gt;"&amp;_xlpm.dia,TB_TAREFAS[Previsão Conclusão],_xlpm.dia,TB_TAREFAS[Status],IF(_xlpm.ignorarItensConcluidos,"&lt;&gt;"&amp;"CONCLUÍDO","*")),_xlpm.esforcoHoras,_xlpm.esforco/60,_xlpm.esforcoHorasInteiras,INT(_xlpm.esforcoHoras),_xlpm.esforco &amp; " (" &amp; _xlpm.esforcoHorasInteiras &amp; "h" &amp; IF(_xlpm.esforcoHoras&lt;&gt;_xlpm.esforcoHorasInteiras," e " &amp;ROUNDUP(60*(_xlpm.esforcoHoras-_xlpm.esforcoHorasInteiras),0) &amp; "min","") &amp; ")")</f>
        <v>230 (3h e 50min)</v>
      </c>
      <c r="M2" s="12"/>
    </row>
    <row r="3" spans="2:27" x14ac:dyDescent="0.3">
      <c r="E3" s="15" t="b">
        <v>0</v>
      </c>
      <c r="F3" t="s">
        <v>22</v>
      </c>
      <c r="I3" s="15" t="b">
        <v>0</v>
      </c>
      <c r="J3" t="s">
        <v>22</v>
      </c>
    </row>
    <row r="4" spans="2:27" ht="18" x14ac:dyDescent="0.35">
      <c r="B4" s="21" t="s">
        <v>97</v>
      </c>
      <c r="C4" s="21"/>
      <c r="D4" s="21"/>
      <c r="E4" s="21"/>
      <c r="F4" s="21"/>
      <c r="G4" s="21"/>
      <c r="H4" s="21"/>
      <c r="I4" s="21"/>
      <c r="J4" s="21"/>
      <c r="L4" s="21" t="s">
        <v>96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10"/>
    </row>
    <row r="5" spans="2:27" ht="28.8" x14ac:dyDescent="0.3">
      <c r="B5" s="2" t="s">
        <v>52</v>
      </c>
      <c r="C5" s="2" t="s">
        <v>73</v>
      </c>
      <c r="D5" s="3" t="s">
        <v>69</v>
      </c>
      <c r="E5" s="3" t="s">
        <v>70</v>
      </c>
      <c r="F5" s="3" t="s">
        <v>0</v>
      </c>
      <c r="G5" s="3" t="s">
        <v>1</v>
      </c>
      <c r="H5" s="3" t="s">
        <v>9</v>
      </c>
      <c r="I5" s="3" t="s">
        <v>10</v>
      </c>
      <c r="J5" s="3" t="s">
        <v>3</v>
      </c>
      <c r="L5" s="3" t="s">
        <v>52</v>
      </c>
      <c r="M5" s="3" t="s">
        <v>73</v>
      </c>
      <c r="N5" s="3" t="s">
        <v>53</v>
      </c>
      <c r="O5" s="3" t="s">
        <v>78</v>
      </c>
      <c r="P5" s="3" t="s">
        <v>2</v>
      </c>
      <c r="Q5" s="3" t="s">
        <v>9</v>
      </c>
      <c r="R5" s="3" t="s">
        <v>10</v>
      </c>
      <c r="S5" s="3" t="s">
        <v>3</v>
      </c>
      <c r="T5" s="3" t="s">
        <v>106</v>
      </c>
      <c r="U5" s="3" t="s">
        <v>107</v>
      </c>
      <c r="V5" s="3" t="s">
        <v>4</v>
      </c>
    </row>
    <row r="6" spans="2:27" x14ac:dyDescent="0.3">
      <c r="B6" s="4" t="s">
        <v>55</v>
      </c>
      <c r="C6" s="7" t="s">
        <v>74</v>
      </c>
      <c r="D6" s="9">
        <f>COUNTIF(TB_TAREFAS[Atividade],TB_ATIVIDADES[[#This Row],[Atividade]])</f>
        <v>5</v>
      </c>
      <c r="E6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2 (40,0%)</v>
      </c>
      <c r="F6" s="9">
        <f>SUMIF(TB_TAREFAS[Atividade],TB_ATIVIDADES[[#This Row],[Atividade]],TB_TAREFAS[Esforço (min)])</f>
        <v>95</v>
      </c>
      <c r="G6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25 (26,3%)</v>
      </c>
      <c r="H6" s="11">
        <f>_xlfn.LET(_xlpm.dataMin,_xlfn.MINIFS(TB_TAREFAS[Previsão Início],TB_TAREFAS[Atividade],TB_ATIVIDADES[[#This Row],[Atividade]]),IF(_xlpm.dataMin=0,"-",_xlpm.dataMin))</f>
        <v>46083</v>
      </c>
      <c r="I6" s="11">
        <f>_xlfn.LET(_xlpm.dataMax,_xlfn.MAXIFS(TB_TAREFAS[Previsão Conclusão],TB_TAREFAS[Atividade],TB_ATIVIDADES[[#This Row],[Atividade]]),IF(_xlpm.dataMax=0,"-",_xlpm.dataMax))</f>
        <v>46083</v>
      </c>
      <c r="J6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CONCLUÍDO</v>
      </c>
      <c r="L6" s="4" t="s">
        <v>55</v>
      </c>
      <c r="M6" s="20" t="str">
        <f>IF(TB_TAREFAS[[#This Row],[Atividade]]="","-",VLOOKUP(TB_TAREFAS[[#This Row],[Atividade]],TB_ATIVIDADES[[Atividade]:[Fase]],2,FALSE))</f>
        <v>F1-DESENV</v>
      </c>
      <c r="N6" s="5" t="s">
        <v>20</v>
      </c>
      <c r="O6" s="6" t="s">
        <v>19</v>
      </c>
      <c r="P6" s="9">
        <v>20</v>
      </c>
      <c r="Q6" s="11">
        <v>46083</v>
      </c>
      <c r="R6" s="11">
        <v>46083</v>
      </c>
      <c r="S6" s="1" t="s">
        <v>103</v>
      </c>
      <c r="T6" s="11">
        <v>46085</v>
      </c>
      <c r="U6" s="11">
        <v>46085</v>
      </c>
      <c r="V6" s="8" t="s">
        <v>104</v>
      </c>
    </row>
    <row r="7" spans="2:27" x14ac:dyDescent="0.3">
      <c r="B7" s="16" t="s">
        <v>54</v>
      </c>
      <c r="C7" s="7" t="s">
        <v>74</v>
      </c>
      <c r="D7" s="9">
        <f>COUNTIF(TB_TAREFAS[Atividade],TB_ATIVIDADES[[#This Row],[Atividade]])</f>
        <v>7</v>
      </c>
      <c r="E7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0 (0,0%)</v>
      </c>
      <c r="F7" s="9">
        <f>SUMIF(TB_TAREFAS[Atividade],TB_ATIVIDADES[[#This Row],[Atividade]],TB_TAREFAS[Esforço (min)])</f>
        <v>125</v>
      </c>
      <c r="G7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0 (0,0%)</v>
      </c>
      <c r="H7" s="11">
        <f>_xlfn.LET(_xlpm.dataMin,_xlfn.MINIFS(TB_TAREFAS[Previsão Início],TB_TAREFAS[Atividade],TB_ATIVIDADES[[#This Row],[Atividade]]),IF(_xlpm.dataMin=0,"-",_xlpm.dataMin))</f>
        <v>46083</v>
      </c>
      <c r="I7" s="11">
        <f>_xlfn.LET(_xlpm.dataMax,_xlfn.MAXIFS(TB_TAREFAS[Previsão Conclusão],TB_TAREFAS[Atividade],TB_ATIVIDADES[[#This Row],[Atividade]]),IF(_xlpm.dataMax=0,"-",_xlpm.dataMax))</f>
        <v>46083</v>
      </c>
      <c r="J7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CONCLUÍDO</v>
      </c>
      <c r="L7" s="4" t="s">
        <v>55</v>
      </c>
      <c r="M7" s="20" t="str">
        <f>IF(TB_TAREFAS[[#This Row],[Atividade]]="","-",VLOOKUP(TB_TAREFAS[[#This Row],[Atividade]],TB_ATIVIDADES[[Atividade]:[Fase]],2,FALSE))</f>
        <v>F1-DESENV</v>
      </c>
      <c r="N7" s="5" t="s">
        <v>51</v>
      </c>
      <c r="O7" s="6" t="s">
        <v>19</v>
      </c>
      <c r="P7" s="9">
        <v>5</v>
      </c>
      <c r="Q7" s="11">
        <v>46083</v>
      </c>
      <c r="R7" s="11">
        <v>46083</v>
      </c>
      <c r="S7" s="1" t="s">
        <v>103</v>
      </c>
      <c r="T7" s="11">
        <v>46085</v>
      </c>
      <c r="U7" s="11">
        <v>46085</v>
      </c>
      <c r="V7" s="8" t="s">
        <v>104</v>
      </c>
    </row>
    <row r="8" spans="2:27" x14ac:dyDescent="0.3">
      <c r="B8" s="16" t="s">
        <v>56</v>
      </c>
      <c r="C8" s="7" t="s">
        <v>74</v>
      </c>
      <c r="D8" s="9">
        <f>COUNTIF(TB_TAREFAS[Atividade],TB_ATIVIDADES[[#This Row],[Atividade]])</f>
        <v>4</v>
      </c>
      <c r="E8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0 (0,0%)</v>
      </c>
      <c r="F8" s="9">
        <f>SUMIF(TB_TAREFAS[Atividade],TB_ATIVIDADES[[#This Row],[Atividade]],TB_TAREFAS[Esforço (min)])</f>
        <v>65</v>
      </c>
      <c r="G8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0 (0,0%)</v>
      </c>
      <c r="H8" s="11">
        <f>_xlfn.LET(_xlpm.dataMin,_xlfn.MINIFS(TB_TAREFAS[Previsão Início],TB_TAREFAS[Atividade],TB_ATIVIDADES[[#This Row],[Atividade]]),IF(_xlpm.dataMin=0,"-",_xlpm.dataMin))</f>
        <v>46083</v>
      </c>
      <c r="I8" s="11">
        <f>_xlfn.LET(_xlpm.dataMax,_xlfn.MAXIFS(TB_TAREFAS[Previsão Conclusão],TB_TAREFAS[Atividade],TB_ATIVIDADES[[#This Row],[Atividade]]),IF(_xlpm.dataMax=0,"-",_xlpm.dataMax))</f>
        <v>46083</v>
      </c>
      <c r="J8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CONCLUÍDO</v>
      </c>
      <c r="L8" s="4" t="s">
        <v>55</v>
      </c>
      <c r="M8" s="20" t="str">
        <f>IF(TB_TAREFAS[[#This Row],[Atividade]]="","-",VLOOKUP(TB_TAREFAS[[#This Row],[Atividade]],TB_ATIVIDADES[[Atividade]:[Fase]],2,FALSE))</f>
        <v>F1-DESENV</v>
      </c>
      <c r="N8" s="5" t="s">
        <v>7</v>
      </c>
      <c r="O8" s="6" t="s">
        <v>5</v>
      </c>
      <c r="P8" s="9">
        <v>30</v>
      </c>
      <c r="Q8" s="11">
        <v>46083</v>
      </c>
      <c r="R8" s="11">
        <v>46083</v>
      </c>
      <c r="S8" s="1" t="s">
        <v>13</v>
      </c>
      <c r="T8" s="11">
        <v>46085</v>
      </c>
      <c r="U8" s="11">
        <v>46085</v>
      </c>
      <c r="V8" s="8"/>
    </row>
    <row r="9" spans="2:27" x14ac:dyDescent="0.3">
      <c r="B9" s="16" t="s">
        <v>57</v>
      </c>
      <c r="C9" s="7" t="s">
        <v>74</v>
      </c>
      <c r="D9" s="9">
        <f>COUNTIF(TB_TAREFAS[Atividade],TB_ATIVIDADES[[#This Row],[Atividade]])</f>
        <v>7</v>
      </c>
      <c r="E9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7 (100,0%)</v>
      </c>
      <c r="F9" s="9">
        <f>SUMIF(TB_TAREFAS[Atividade],TB_ATIVIDADES[[#This Row],[Atividade]],TB_TAREFAS[Esforço (min)])</f>
        <v>225</v>
      </c>
      <c r="G9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225 (100,0%)</v>
      </c>
      <c r="H9" s="11">
        <f>_xlfn.LET(_xlpm.dataMin,_xlfn.MINIFS(TB_TAREFAS[Previsão Início],TB_TAREFAS[Atividade],TB_ATIVIDADES[[#This Row],[Atividade]]),IF(_xlpm.dataMin=0,"-",_xlpm.dataMin))</f>
        <v>46084</v>
      </c>
      <c r="I9" s="11">
        <f>_xlfn.LET(_xlpm.dataMax,_xlfn.MAXIFS(TB_TAREFAS[Previsão Conclusão],TB_TAREFAS[Atividade],TB_ATIVIDADES[[#This Row],[Atividade]]),IF(_xlpm.dataMax=0,"-",_xlpm.dataMax))</f>
        <v>46084</v>
      </c>
      <c r="J9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EM ATRASO (INÍCIO)</v>
      </c>
      <c r="L9" s="4" t="s">
        <v>55</v>
      </c>
      <c r="M9" s="20" t="str">
        <f>IF(TB_TAREFAS[[#This Row],[Atividade]]="","-",VLOOKUP(TB_TAREFAS[[#This Row],[Atividade]],TB_ATIVIDADES[[Atividade]:[Fase]],2,FALSE))</f>
        <v>F1-DESENV</v>
      </c>
      <c r="N9" s="5" t="s">
        <v>32</v>
      </c>
      <c r="O9" s="6" t="s">
        <v>6</v>
      </c>
      <c r="P9" s="9">
        <v>20</v>
      </c>
      <c r="Q9" s="11">
        <v>46083</v>
      </c>
      <c r="R9" s="11">
        <v>46083</v>
      </c>
      <c r="S9" s="1" t="s">
        <v>13</v>
      </c>
      <c r="T9" s="11">
        <v>46085</v>
      </c>
      <c r="U9" s="11">
        <v>46085</v>
      </c>
      <c r="V9" s="8"/>
    </row>
    <row r="10" spans="2:27" ht="28.8" x14ac:dyDescent="0.3">
      <c r="B10" s="16" t="s">
        <v>58</v>
      </c>
      <c r="C10" s="7" t="s">
        <v>74</v>
      </c>
      <c r="D10" s="9">
        <f>COUNTIF(TB_TAREFAS[Atividade],TB_ATIVIDADES[[#This Row],[Atividade]])</f>
        <v>5</v>
      </c>
      <c r="E10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5 (100,0%)</v>
      </c>
      <c r="F10" s="9">
        <f>SUMIF(TB_TAREFAS[Atividade],TB_ATIVIDADES[[#This Row],[Atividade]],TB_TAREFAS[Esforço (min)])</f>
        <v>95</v>
      </c>
      <c r="G10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95 (100,0%)</v>
      </c>
      <c r="H10" s="11">
        <f>_xlfn.LET(_xlpm.dataMin,_xlfn.MINIFS(TB_TAREFAS[Previsão Início],TB_TAREFAS[Atividade],TB_ATIVIDADES[[#This Row],[Atividade]]),IF(_xlpm.dataMin=0,"-",_xlpm.dataMin))</f>
        <v>46085</v>
      </c>
      <c r="I10" s="11">
        <f>_xlfn.LET(_xlpm.dataMax,_xlfn.MAXIFS(TB_TAREFAS[Previsão Conclusão],TB_TAREFAS[Atividade],TB_ATIVIDADES[[#This Row],[Atividade]]),IF(_xlpm.dataMax=0,"-",_xlpm.dataMax))</f>
        <v>46085</v>
      </c>
      <c r="J10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EM ATRASO (INÍCIO)</v>
      </c>
      <c r="L10" s="4" t="s">
        <v>55</v>
      </c>
      <c r="M10" s="20" t="str">
        <f>IF(TB_TAREFAS[[#This Row],[Atividade]]="","-",VLOOKUP(TB_TAREFAS[[#This Row],[Atividade]],TB_ATIVIDADES[[Atividade]:[Fase]],2,FALSE))</f>
        <v>F1-DESENV</v>
      </c>
      <c r="N10" s="5" t="s">
        <v>33</v>
      </c>
      <c r="O10" s="6" t="s">
        <v>6</v>
      </c>
      <c r="P10" s="9">
        <v>20</v>
      </c>
      <c r="Q10" s="11">
        <v>46083</v>
      </c>
      <c r="R10" s="11">
        <v>46083</v>
      </c>
      <c r="S10" s="1" t="s">
        <v>13</v>
      </c>
      <c r="T10" s="11">
        <v>46085</v>
      </c>
      <c r="U10" s="11">
        <v>46085</v>
      </c>
      <c r="V10" s="8"/>
    </row>
    <row r="11" spans="2:27" x14ac:dyDescent="0.3">
      <c r="B11" s="16" t="s">
        <v>59</v>
      </c>
      <c r="C11" s="7" t="s">
        <v>74</v>
      </c>
      <c r="D11" s="9">
        <f>COUNTIF(TB_TAREFAS[Atividade],TB_ATIVIDADES[[#This Row],[Atividade]])</f>
        <v>5</v>
      </c>
      <c r="E11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5 (100,0%)</v>
      </c>
      <c r="F11" s="9">
        <f>SUMIF(TB_TAREFAS[Atividade],TB_ATIVIDADES[[#This Row],[Atividade]],TB_TAREFAS[Esforço (min)])</f>
        <v>95</v>
      </c>
      <c r="G11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95 (100,0%)</v>
      </c>
      <c r="H11" s="11">
        <f>_xlfn.LET(_xlpm.dataMin,_xlfn.MINIFS(TB_TAREFAS[Previsão Início],TB_TAREFAS[Atividade],TB_ATIVIDADES[[#This Row],[Atividade]]),IF(_xlpm.dataMin=0,"-",_xlpm.dataMin))</f>
        <v>46085</v>
      </c>
      <c r="I11" s="11">
        <f>_xlfn.LET(_xlpm.dataMax,_xlfn.MAXIFS(TB_TAREFAS[Previsão Conclusão],TB_TAREFAS[Atividade],TB_ATIVIDADES[[#This Row],[Atividade]]),IF(_xlpm.dataMax=0,"-",_xlpm.dataMax))</f>
        <v>46085</v>
      </c>
      <c r="J11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EM ATRASO (INÍCIO)</v>
      </c>
      <c r="L11" s="4" t="s">
        <v>54</v>
      </c>
      <c r="M11" s="20" t="str">
        <f>IF(TB_TAREFAS[[#This Row],[Atividade]]="","-",VLOOKUP(TB_TAREFAS[[#This Row],[Atividade]],TB_ATIVIDADES[[Atividade]:[Fase]],2,FALSE))</f>
        <v>F1-DESENV</v>
      </c>
      <c r="N11" s="5" t="s">
        <v>7</v>
      </c>
      <c r="O11" s="6" t="s">
        <v>5</v>
      </c>
      <c r="P11" s="9">
        <v>20</v>
      </c>
      <c r="Q11" s="11">
        <v>46083</v>
      </c>
      <c r="R11" s="11">
        <v>46083</v>
      </c>
      <c r="S11" s="1" t="s">
        <v>13</v>
      </c>
      <c r="T11" s="11">
        <v>46085</v>
      </c>
      <c r="U11" s="11">
        <v>46085</v>
      </c>
      <c r="V11" s="8"/>
    </row>
    <row r="12" spans="2:27" ht="24.6" x14ac:dyDescent="0.3">
      <c r="B12" s="16" t="s">
        <v>65</v>
      </c>
      <c r="C12" s="7" t="s">
        <v>74</v>
      </c>
      <c r="D12" s="9">
        <f>COUNTIF(TB_TAREFAS[Atividade],TB_ATIVIDADES[[#This Row],[Atividade]])</f>
        <v>9</v>
      </c>
      <c r="E12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9 (100,0%)</v>
      </c>
      <c r="F12" s="9">
        <f>SUMIF(TB_TAREFAS[Atividade],TB_ATIVIDADES[[#This Row],[Atividade]],TB_TAREFAS[Esforço (min)])</f>
        <v>205</v>
      </c>
      <c r="G12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205 (100,0%)</v>
      </c>
      <c r="H12" s="11">
        <f>_xlfn.LET(_xlpm.dataMin,_xlfn.MINIFS(TB_TAREFAS[Previsão Início],TB_TAREFAS[Atividade],TB_ATIVIDADES[[#This Row],[Atividade]]),IF(_xlpm.dataMin=0,"-",_xlpm.dataMin))</f>
        <v>46086</v>
      </c>
      <c r="I12" s="11">
        <f>_xlfn.LET(_xlpm.dataMax,_xlfn.MAXIFS(TB_TAREFAS[Previsão Conclusão],TB_TAREFAS[Atividade],TB_ATIVIDADES[[#This Row],[Atividade]]),IF(_xlpm.dataMax=0,"-",_xlpm.dataMax))</f>
        <v>46091</v>
      </c>
      <c r="J12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2" s="4" t="s">
        <v>54</v>
      </c>
      <c r="M12" s="20" t="str">
        <f>IF(TB_TAREFAS[[#This Row],[Atividade]]="","-",VLOOKUP(TB_TAREFAS[[#This Row],[Atividade]],TB_ATIVIDADES[[Atividade]:[Fase]],2,FALSE))</f>
        <v>F1-DESENV</v>
      </c>
      <c r="N12" s="5" t="s">
        <v>11</v>
      </c>
      <c r="O12" s="6" t="s">
        <v>6</v>
      </c>
      <c r="P12" s="9">
        <v>20</v>
      </c>
      <c r="Q12" s="11">
        <v>46083</v>
      </c>
      <c r="R12" s="11">
        <v>46083</v>
      </c>
      <c r="S12" s="1" t="s">
        <v>13</v>
      </c>
      <c r="T12" s="11">
        <v>46085</v>
      </c>
      <c r="U12" s="11">
        <v>46085</v>
      </c>
      <c r="V12" s="8" t="s">
        <v>102</v>
      </c>
    </row>
    <row r="13" spans="2:27" x14ac:dyDescent="0.3">
      <c r="B13" s="16" t="s">
        <v>60</v>
      </c>
      <c r="C13" s="7" t="s">
        <v>74</v>
      </c>
      <c r="D13" s="9">
        <f>COUNTIF(TB_TAREFAS[Atividade],TB_ATIVIDADES[[#This Row],[Atividade]])</f>
        <v>6</v>
      </c>
      <c r="E13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6 (100,0%)</v>
      </c>
      <c r="F13" s="9">
        <f>SUMIF(TB_TAREFAS[Atividade],TB_ATIVIDADES[[#This Row],[Atividade]],TB_TAREFAS[Esforço (min)])</f>
        <v>105</v>
      </c>
      <c r="G13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105 (100,0%)</v>
      </c>
      <c r="H13" s="11">
        <f>_xlfn.LET(_xlpm.dataMin,_xlfn.MINIFS(TB_TAREFAS[Previsão Início],TB_TAREFAS[Atividade],TB_ATIVIDADES[[#This Row],[Atividade]]),IF(_xlpm.dataMin=0,"-",_xlpm.dataMin))</f>
        <v>46086</v>
      </c>
      <c r="I13" s="11">
        <f>_xlfn.LET(_xlpm.dataMax,_xlfn.MAXIFS(TB_TAREFAS[Previsão Conclusão],TB_TAREFAS[Atividade],TB_ATIVIDADES[[#This Row],[Atividade]]),IF(_xlpm.dataMax=0,"-",_xlpm.dataMax))</f>
        <v>46086</v>
      </c>
      <c r="J13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3" s="4" t="s">
        <v>54</v>
      </c>
      <c r="M13" s="20" t="str">
        <f>IF(TB_TAREFAS[[#This Row],[Atividade]]="","-",VLOOKUP(TB_TAREFAS[[#This Row],[Atividade]],TB_ATIVIDADES[[Atividade]:[Fase]],2,FALSE))</f>
        <v>F1-DESENV</v>
      </c>
      <c r="N13" s="5" t="s">
        <v>12</v>
      </c>
      <c r="O13" s="6" t="s">
        <v>6</v>
      </c>
      <c r="P13" s="9">
        <v>20</v>
      </c>
      <c r="Q13" s="11">
        <v>46083</v>
      </c>
      <c r="R13" s="11">
        <v>46083</v>
      </c>
      <c r="S13" s="1" t="s">
        <v>13</v>
      </c>
      <c r="T13" s="11">
        <v>46085</v>
      </c>
      <c r="U13" s="11">
        <v>46085</v>
      </c>
      <c r="V13" s="8"/>
    </row>
    <row r="14" spans="2:27" ht="28.8" x14ac:dyDescent="0.3">
      <c r="B14" s="16" t="s">
        <v>61</v>
      </c>
      <c r="C14" s="7" t="s">
        <v>74</v>
      </c>
      <c r="D14" s="9">
        <f>COUNTIF(TB_TAREFAS[Atividade],TB_ATIVIDADES[[#This Row],[Atividade]])</f>
        <v>7</v>
      </c>
      <c r="E14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7 (100,0%)</v>
      </c>
      <c r="F14" s="9">
        <f>SUMIF(TB_TAREFAS[Atividade],TB_ATIVIDADES[[#This Row],[Atividade]],TB_TAREFAS[Esforço (min)])</f>
        <v>145</v>
      </c>
      <c r="G14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145 (100,0%)</v>
      </c>
      <c r="H14" s="11">
        <f>_xlfn.LET(_xlpm.dataMin,_xlfn.MINIFS(TB_TAREFAS[Previsão Início],TB_TAREFAS[Atividade],TB_ATIVIDADES[[#This Row],[Atividade]]),IF(_xlpm.dataMin=0,"-",_xlpm.dataMin))</f>
        <v>46087</v>
      </c>
      <c r="I14" s="11">
        <f>_xlfn.LET(_xlpm.dataMax,_xlfn.MAXIFS(TB_TAREFAS[Previsão Conclusão],TB_TAREFAS[Atividade],TB_ATIVIDADES[[#This Row],[Atividade]]),IF(_xlpm.dataMax=0,"-",_xlpm.dataMax))</f>
        <v>46087</v>
      </c>
      <c r="J14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4" s="4" t="s">
        <v>54</v>
      </c>
      <c r="M14" s="20" t="str">
        <f>IF(TB_TAREFAS[[#This Row],[Atividade]]="","-",VLOOKUP(TB_TAREFAS[[#This Row],[Atividade]],TB_ATIVIDADES[[Atividade]:[Fase]],2,FALSE))</f>
        <v>F1-DESENV</v>
      </c>
      <c r="N14" s="5" t="s">
        <v>14</v>
      </c>
      <c r="O14" s="6" t="s">
        <v>6</v>
      </c>
      <c r="P14" s="9">
        <v>20</v>
      </c>
      <c r="Q14" s="11">
        <v>46083</v>
      </c>
      <c r="R14" s="11">
        <v>46083</v>
      </c>
      <c r="S14" s="1" t="s">
        <v>13</v>
      </c>
      <c r="T14" s="11">
        <v>46085</v>
      </c>
      <c r="U14" s="11">
        <v>46085</v>
      </c>
      <c r="V14" s="8"/>
      <c r="AA14" s="12"/>
    </row>
    <row r="15" spans="2:27" x14ac:dyDescent="0.3">
      <c r="B15" s="16" t="s">
        <v>62</v>
      </c>
      <c r="C15" s="7" t="s">
        <v>74</v>
      </c>
      <c r="D15" s="9">
        <f>COUNTIF(TB_TAREFAS[Atividade],TB_ATIVIDADES[[#This Row],[Atividade]])</f>
        <v>5</v>
      </c>
      <c r="E15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5 (100,0%)</v>
      </c>
      <c r="F15" s="9">
        <f>SUMIF(TB_TAREFAS[Atividade],TB_ATIVIDADES[[#This Row],[Atividade]],TB_TAREFAS[Esforço (min)])</f>
        <v>85</v>
      </c>
      <c r="G15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85 (100,0%)</v>
      </c>
      <c r="H15" s="11">
        <f>_xlfn.LET(_xlpm.dataMin,_xlfn.MINIFS(TB_TAREFAS[Previsão Início],TB_TAREFAS[Atividade],TB_ATIVIDADES[[#This Row],[Atividade]]),IF(_xlpm.dataMin=0,"-",_xlpm.dataMin))</f>
        <v>46087</v>
      </c>
      <c r="I15" s="11">
        <f>_xlfn.LET(_xlpm.dataMax,_xlfn.MAXIFS(TB_TAREFAS[Previsão Conclusão],TB_TAREFAS[Atividade],TB_ATIVIDADES[[#This Row],[Atividade]]),IF(_xlpm.dataMax=0,"-",_xlpm.dataMax))</f>
        <v>46087</v>
      </c>
      <c r="J15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5" s="4" t="s">
        <v>54</v>
      </c>
      <c r="M15" s="20" t="str">
        <f>IF(TB_TAREFAS[[#This Row],[Atividade]]="","-",VLOOKUP(TB_TAREFAS[[#This Row],[Atividade]],TB_ATIVIDADES[[Atividade]:[Fase]],2,FALSE))</f>
        <v>F1-DESENV</v>
      </c>
      <c r="N15" s="5" t="s">
        <v>32</v>
      </c>
      <c r="O15" s="6" t="s">
        <v>6</v>
      </c>
      <c r="P15" s="9">
        <v>20</v>
      </c>
      <c r="Q15" s="11">
        <v>46083</v>
      </c>
      <c r="R15" s="11">
        <v>46083</v>
      </c>
      <c r="S15" s="1" t="s">
        <v>13</v>
      </c>
      <c r="T15" s="11">
        <v>46085</v>
      </c>
      <c r="U15" s="11">
        <v>46085</v>
      </c>
      <c r="V15" s="8"/>
    </row>
    <row r="16" spans="2:27" ht="28.8" x14ac:dyDescent="0.3">
      <c r="B16" s="16" t="s">
        <v>66</v>
      </c>
      <c r="C16" s="7" t="s">
        <v>74</v>
      </c>
      <c r="D16" s="9">
        <f>COUNTIF(TB_TAREFAS[Atividade],TB_ATIVIDADES[[#This Row],[Atividade]])</f>
        <v>7</v>
      </c>
      <c r="E16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7 (100,0%)</v>
      </c>
      <c r="F16" s="9">
        <f>SUMIF(TB_TAREFAS[Atividade],TB_ATIVIDADES[[#This Row],[Atividade]],TB_TAREFAS[Esforço (min)])</f>
        <v>270</v>
      </c>
      <c r="G16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270 (100,0%)</v>
      </c>
      <c r="H16" s="11">
        <f>_xlfn.LET(_xlpm.dataMin,_xlfn.MINIFS(TB_TAREFAS[Previsão Início],TB_TAREFAS[Atividade],TB_ATIVIDADES[[#This Row],[Atividade]]),IF(_xlpm.dataMin=0,"-",_xlpm.dataMin))</f>
        <v>46088</v>
      </c>
      <c r="I16" s="11">
        <f>_xlfn.LET(_xlpm.dataMax,_xlfn.MAXIFS(TB_TAREFAS[Previsão Conclusão],TB_TAREFAS[Atividade],TB_ATIVIDADES[[#This Row],[Atividade]]),IF(_xlpm.dataMax=0,"-",_xlpm.dataMax))</f>
        <v>46089</v>
      </c>
      <c r="J16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6" s="4" t="s">
        <v>54</v>
      </c>
      <c r="M16" s="20" t="str">
        <f>IF(TB_TAREFAS[[#This Row],[Atividade]]="","-",VLOOKUP(TB_TAREFAS[[#This Row],[Atividade]],TB_ATIVIDADES[[Atividade]:[Fase]],2,FALSE))</f>
        <v>F1-DESENV</v>
      </c>
      <c r="N16" s="5" t="s">
        <v>20</v>
      </c>
      <c r="O16" s="6" t="s">
        <v>19</v>
      </c>
      <c r="P16" s="9">
        <v>20</v>
      </c>
      <c r="Q16" s="11">
        <v>46083</v>
      </c>
      <c r="R16" s="11">
        <v>46083</v>
      </c>
      <c r="S16" s="1" t="s">
        <v>13</v>
      </c>
      <c r="T16" s="11">
        <v>46085</v>
      </c>
      <c r="U16" s="11">
        <v>46085</v>
      </c>
      <c r="V16" s="8"/>
    </row>
    <row r="17" spans="2:22" ht="36.6" x14ac:dyDescent="0.3">
      <c r="B17" s="16" t="s">
        <v>63</v>
      </c>
      <c r="C17" s="7" t="s">
        <v>74</v>
      </c>
      <c r="D17" s="9">
        <f>COUNTIF(TB_TAREFAS[Atividade],TB_ATIVIDADES[[#This Row],[Atividade]])</f>
        <v>1</v>
      </c>
      <c r="E17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1 (100,0%)</v>
      </c>
      <c r="F17" s="9">
        <f>SUMIF(TB_TAREFAS[Atividade],TB_ATIVIDADES[[#This Row],[Atividade]],TB_TAREFAS[Esforço (min)])</f>
        <v>40</v>
      </c>
      <c r="G17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40 (100,0%)</v>
      </c>
      <c r="H17" s="11">
        <f>_xlfn.LET(_xlpm.dataMin,_xlfn.MINIFS(TB_TAREFAS[Previsão Início],TB_TAREFAS[Atividade],TB_ATIVIDADES[[#This Row],[Atividade]]),IF(_xlpm.dataMin=0,"-",_xlpm.dataMin))</f>
        <v>46089</v>
      </c>
      <c r="I17" s="11">
        <f>_xlfn.LET(_xlpm.dataMax,_xlfn.MAXIFS(TB_TAREFAS[Previsão Conclusão],TB_TAREFAS[Atividade],TB_ATIVIDADES[[#This Row],[Atividade]]),IF(_xlpm.dataMax=0,"-",_xlpm.dataMax))</f>
        <v>46089</v>
      </c>
      <c r="J17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7" s="4" t="s">
        <v>54</v>
      </c>
      <c r="M17" s="20" t="str">
        <f>IF(TB_TAREFAS[[#This Row],[Atividade]]="","-",VLOOKUP(TB_TAREFAS[[#This Row],[Atividade]],TB_ATIVIDADES[[Atividade]:[Fase]],2,FALSE))</f>
        <v>F1-DESENV</v>
      </c>
      <c r="N17" s="5" t="s">
        <v>51</v>
      </c>
      <c r="O17" s="6" t="s">
        <v>19</v>
      </c>
      <c r="P17" s="9">
        <v>5</v>
      </c>
      <c r="Q17" s="11">
        <v>46083</v>
      </c>
      <c r="R17" s="11">
        <v>46083</v>
      </c>
      <c r="S17" s="1" t="s">
        <v>13</v>
      </c>
      <c r="T17" s="11">
        <v>46085</v>
      </c>
      <c r="U17" s="11">
        <v>46085</v>
      </c>
      <c r="V17" s="8" t="s">
        <v>105</v>
      </c>
    </row>
    <row r="18" spans="2:22" ht="28.8" x14ac:dyDescent="0.3">
      <c r="B18" s="16" t="s">
        <v>67</v>
      </c>
      <c r="C18" s="7" t="s">
        <v>74</v>
      </c>
      <c r="D18" s="9">
        <f>COUNTIF(TB_TAREFAS[Atividade],TB_ATIVIDADES[[#This Row],[Atividade]])</f>
        <v>6</v>
      </c>
      <c r="E18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6 (100,0%)</v>
      </c>
      <c r="F18" s="9">
        <f>SUMIF(TB_TAREFAS[Atividade],TB_ATIVIDADES[[#This Row],[Atividade]],TB_TAREFAS[Esforço (min)])</f>
        <v>250</v>
      </c>
      <c r="G18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250 (100,0%)</v>
      </c>
      <c r="H18" s="11">
        <f>_xlfn.LET(_xlpm.dataMin,_xlfn.MINIFS(TB_TAREFAS[Previsão Início],TB_TAREFAS[Atividade],TB_ATIVIDADES[[#This Row],[Atividade]]),IF(_xlpm.dataMin=0,"-",_xlpm.dataMin))</f>
        <v>46089</v>
      </c>
      <c r="I18" s="11">
        <f>_xlfn.LET(_xlpm.dataMax,_xlfn.MAXIFS(TB_TAREFAS[Previsão Conclusão],TB_TAREFAS[Atividade],TB_ATIVIDADES[[#This Row],[Atividade]]),IF(_xlpm.dataMax=0,"-",_xlpm.dataMax))</f>
        <v>46090</v>
      </c>
      <c r="J18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8" s="4" t="s">
        <v>56</v>
      </c>
      <c r="M18" s="20" t="str">
        <f>IF(TB_TAREFAS[[#This Row],[Atividade]]="","-",VLOOKUP(TB_TAREFAS[[#This Row],[Atividade]],TB_ATIVIDADES[[Atividade]:[Fase]],2,FALSE))</f>
        <v>F1-DESENV</v>
      </c>
      <c r="N18" s="5" t="s">
        <v>18</v>
      </c>
      <c r="O18" s="6" t="s">
        <v>6</v>
      </c>
      <c r="P18" s="9">
        <v>20</v>
      </c>
      <c r="Q18" s="11">
        <v>46083</v>
      </c>
      <c r="R18" s="11">
        <v>46083</v>
      </c>
      <c r="S18" s="1" t="s">
        <v>13</v>
      </c>
      <c r="T18" s="11">
        <v>46085</v>
      </c>
      <c r="U18" s="11">
        <v>46085</v>
      </c>
      <c r="V18" s="8" t="s">
        <v>109</v>
      </c>
    </row>
    <row r="19" spans="2:22" ht="28.8" x14ac:dyDescent="0.3">
      <c r="B19" s="16" t="s">
        <v>64</v>
      </c>
      <c r="C19" s="7" t="s">
        <v>74</v>
      </c>
      <c r="D19" s="9">
        <f>COUNTIF(TB_TAREFAS[Atividade],TB_ATIVIDADES[[#This Row],[Atividade]])</f>
        <v>1</v>
      </c>
      <c r="E19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1 (100,0%)</v>
      </c>
      <c r="F19" s="9">
        <f>SUMIF(TB_TAREFAS[Atividade],TB_ATIVIDADES[[#This Row],[Atividade]],TB_TAREFAS[Esforço (min)])</f>
        <v>40</v>
      </c>
      <c r="G19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40 (100,0%)</v>
      </c>
      <c r="H19" s="11">
        <f>_xlfn.LET(_xlpm.dataMin,_xlfn.MINIFS(TB_TAREFAS[Previsão Início],TB_TAREFAS[Atividade],TB_ATIVIDADES[[#This Row],[Atividade]]),IF(_xlpm.dataMin=0,"-",_xlpm.dataMin))</f>
        <v>46090</v>
      </c>
      <c r="I19" s="11">
        <f>_xlfn.LET(_xlpm.dataMax,_xlfn.MAXIFS(TB_TAREFAS[Previsão Conclusão],TB_TAREFAS[Atividade],TB_ATIVIDADES[[#This Row],[Atividade]]),IF(_xlpm.dataMax=0,"-",_xlpm.dataMax))</f>
        <v>46090</v>
      </c>
      <c r="J19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19" s="4" t="s">
        <v>56</v>
      </c>
      <c r="M19" s="20" t="str">
        <f>IF(TB_TAREFAS[[#This Row],[Atividade]]="","-",VLOOKUP(TB_TAREFAS[[#This Row],[Atividade]],TB_ATIVIDADES[[Atividade]:[Fase]],2,FALSE))</f>
        <v>F1-DESENV</v>
      </c>
      <c r="N19" s="5" t="s">
        <v>7</v>
      </c>
      <c r="O19" s="6" t="s">
        <v>5</v>
      </c>
      <c r="P19" s="9">
        <v>20</v>
      </c>
      <c r="Q19" s="11">
        <v>46083</v>
      </c>
      <c r="R19" s="11">
        <v>46083</v>
      </c>
      <c r="S19" s="1" t="s">
        <v>13</v>
      </c>
      <c r="T19" s="11">
        <v>46085</v>
      </c>
      <c r="U19" s="11">
        <v>46085</v>
      </c>
      <c r="V19" s="8"/>
    </row>
    <row r="20" spans="2:22" ht="28.8" x14ac:dyDescent="0.3">
      <c r="B20" s="16" t="s">
        <v>68</v>
      </c>
      <c r="C20" s="7" t="s">
        <v>74</v>
      </c>
      <c r="D20" s="9">
        <f>COUNTIF(TB_TAREFAS[Atividade],TB_ATIVIDADES[[#This Row],[Atividade]])</f>
        <v>5</v>
      </c>
      <c r="E20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5 (100,0%)</v>
      </c>
      <c r="F20" s="9">
        <f>SUMIF(TB_TAREFAS[Atividade],TB_ATIVIDADES[[#This Row],[Atividade]],TB_TAREFAS[Esforço (min)])</f>
        <v>130</v>
      </c>
      <c r="G20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130 (100,0%)</v>
      </c>
      <c r="H20" s="11">
        <f>_xlfn.LET(_xlpm.dataMin,_xlfn.MINIFS(TB_TAREFAS[Previsão Início],TB_TAREFAS[Atividade],TB_ATIVIDADES[[#This Row],[Atividade]]),IF(_xlpm.dataMin=0,"-",_xlpm.dataMin))</f>
        <v>46091</v>
      </c>
      <c r="I20" s="11">
        <f>_xlfn.LET(_xlpm.dataMax,_xlfn.MAXIFS(TB_TAREFAS[Previsão Conclusão],TB_TAREFAS[Atividade],TB_ATIVIDADES[[#This Row],[Atividade]]),IF(_xlpm.dataMax=0,"-",_xlpm.dataMax))</f>
        <v>46091</v>
      </c>
      <c r="J20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20" s="4" t="s">
        <v>56</v>
      </c>
      <c r="M20" s="20" t="str">
        <f>IF(TB_TAREFAS[[#This Row],[Atividade]]="","-",VLOOKUP(TB_TAREFAS[[#This Row],[Atividade]],TB_ATIVIDADES[[Atividade]:[Fase]],2,FALSE))</f>
        <v>F1-DESENV</v>
      </c>
      <c r="N20" s="5" t="s">
        <v>20</v>
      </c>
      <c r="O20" s="6" t="s">
        <v>19</v>
      </c>
      <c r="P20" s="9">
        <v>20</v>
      </c>
      <c r="Q20" s="11">
        <v>46083</v>
      </c>
      <c r="R20" s="11">
        <v>46083</v>
      </c>
      <c r="S20" s="1" t="s">
        <v>13</v>
      </c>
      <c r="T20" s="11">
        <v>46085</v>
      </c>
      <c r="U20" s="11">
        <v>46085</v>
      </c>
      <c r="V20" s="8"/>
    </row>
    <row r="21" spans="2:22" x14ac:dyDescent="0.3">
      <c r="B21" s="16" t="s">
        <v>71</v>
      </c>
      <c r="C21" s="1" t="s">
        <v>75</v>
      </c>
      <c r="D21" s="9">
        <f>COUNTIF(TB_TAREFAS[Atividade],TB_ATIVIDADES[[#This Row],[Atividade]])</f>
        <v>4</v>
      </c>
      <c r="E21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4 (100,0%)</v>
      </c>
      <c r="F21" s="9">
        <f>SUMIF(TB_TAREFAS[Atividade],TB_ATIVIDADES[[#This Row],[Atividade]],TB_TAREFAS[Esforço (min)])</f>
        <v>420</v>
      </c>
      <c r="G21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420 (100,0%)</v>
      </c>
      <c r="H21" s="11">
        <f>_xlfn.LET(_xlpm.dataMin,_xlfn.MINIFS(TB_TAREFAS[Previsão Início],TB_TAREFAS[Atividade],TB_ATIVIDADES[[#This Row],[Atividade]]),IF(_xlpm.dataMin=0,"-",_xlpm.dataMin))</f>
        <v>46092</v>
      </c>
      <c r="I21" s="11">
        <f>_xlfn.LET(_xlpm.dataMax,_xlfn.MAXIFS(TB_TAREFAS[Previsão Conclusão],TB_TAREFAS[Atividade],TB_ATIVIDADES[[#This Row],[Atividade]]),IF(_xlpm.dataMax=0,"-",_xlpm.dataMax))</f>
        <v>46093</v>
      </c>
      <c r="J21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21" s="4" t="s">
        <v>56</v>
      </c>
      <c r="M21" s="20" t="str">
        <f>IF(TB_TAREFAS[[#This Row],[Atividade]]="","-",VLOOKUP(TB_TAREFAS[[#This Row],[Atividade]],TB_ATIVIDADES[[Atividade]:[Fase]],2,FALSE))</f>
        <v>F1-DESENV</v>
      </c>
      <c r="N21" s="5" t="s">
        <v>51</v>
      </c>
      <c r="O21" s="6" t="s">
        <v>19</v>
      </c>
      <c r="P21" s="9">
        <v>5</v>
      </c>
      <c r="Q21" s="11">
        <v>46083</v>
      </c>
      <c r="R21" s="11">
        <v>46083</v>
      </c>
      <c r="S21" s="1" t="s">
        <v>13</v>
      </c>
      <c r="T21" s="11">
        <v>46085</v>
      </c>
      <c r="U21" s="11">
        <v>46085</v>
      </c>
      <c r="V21" s="8"/>
    </row>
    <row r="22" spans="2:22" ht="28.8" x14ac:dyDescent="0.3">
      <c r="B22" s="16" t="s">
        <v>72</v>
      </c>
      <c r="C22" s="1" t="s">
        <v>99</v>
      </c>
      <c r="D22" s="9">
        <f>COUNTIF(TB_TAREFAS[Atividade],TB_ATIVIDADES[[#This Row],[Atividade]])</f>
        <v>5</v>
      </c>
      <c r="E22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5 (100,0%)</v>
      </c>
      <c r="F22" s="9">
        <f>SUMIF(TB_TAREFAS[Atividade],TB_ATIVIDADES[[#This Row],[Atividade]],TB_TAREFAS[Esforço (min)])</f>
        <v>480</v>
      </c>
      <c r="G22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480 (100,0%)</v>
      </c>
      <c r="H22" s="11">
        <f>_xlfn.LET(_xlpm.dataMin,_xlfn.MINIFS(TB_TAREFAS[Previsão Início],TB_TAREFAS[Atividade],TB_ATIVIDADES[[#This Row],[Atividade]]),IF(_xlpm.dataMin=0,"-",_xlpm.dataMin))</f>
        <v>46093</v>
      </c>
      <c r="I22" s="11">
        <f>_xlfn.LET(_xlpm.dataMax,_xlfn.MAXIFS(TB_TAREFAS[Previsão Conclusão],TB_TAREFAS[Atividade],TB_ATIVIDADES[[#This Row],[Atividade]]),IF(_xlpm.dataMax=0,"-",_xlpm.dataMax))</f>
        <v>46095</v>
      </c>
      <c r="J22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22" s="4" t="s">
        <v>57</v>
      </c>
      <c r="M22" s="20" t="str">
        <f>IF(TB_TAREFAS[[#This Row],[Atividade]]="","-",VLOOKUP(TB_TAREFAS[[#This Row],[Atividade]],TB_ATIVIDADES[[Atividade]:[Fase]],2,FALSE))</f>
        <v>F1-DESENV</v>
      </c>
      <c r="N22" s="5" t="s">
        <v>7</v>
      </c>
      <c r="O22" s="6" t="s">
        <v>5</v>
      </c>
      <c r="P22" s="9">
        <v>40</v>
      </c>
      <c r="Q22" s="11">
        <v>46084</v>
      </c>
      <c r="R22" s="11">
        <v>46084</v>
      </c>
      <c r="S22" s="1" t="s">
        <v>8</v>
      </c>
      <c r="T22" s="1"/>
      <c r="U22" s="11"/>
      <c r="V22" s="8"/>
    </row>
    <row r="23" spans="2:22" ht="28.8" x14ac:dyDescent="0.3">
      <c r="B23" s="16" t="s">
        <v>82</v>
      </c>
      <c r="C23" s="1" t="s">
        <v>99</v>
      </c>
      <c r="D23" s="9">
        <f>COUNTIF(TB_TAREFAS[Atividade],TB_ATIVIDADES[[#This Row],[Atividade]])</f>
        <v>2</v>
      </c>
      <c r="E23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2 (100,0%)</v>
      </c>
      <c r="F23" s="9">
        <f>SUMIF(TB_TAREFAS[Atividade],TB_ATIVIDADES[[#This Row],[Atividade]],TB_TAREFAS[Esforço (min)])</f>
        <v>190</v>
      </c>
      <c r="G23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190 (100,0%)</v>
      </c>
      <c r="H23" s="11">
        <f>_xlfn.LET(_xlpm.dataMin,_xlfn.MINIFS(TB_TAREFAS[Previsão Início],TB_TAREFAS[Atividade],TB_ATIVIDADES[[#This Row],[Atividade]]),IF(_xlpm.dataMin=0,"-",_xlpm.dataMin))</f>
        <v>46095</v>
      </c>
      <c r="I23" s="11">
        <f>_xlfn.LET(_xlpm.dataMax,_xlfn.MAXIFS(TB_TAREFAS[Previsão Conclusão],TB_TAREFAS[Atividade],TB_ATIVIDADES[[#This Row],[Atividade]]),IF(_xlpm.dataMax=0,"-",_xlpm.dataMax))</f>
        <v>46095</v>
      </c>
      <c r="J23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23" s="4" t="s">
        <v>57</v>
      </c>
      <c r="M23" s="20" t="str">
        <f>IF(TB_TAREFAS[[#This Row],[Atividade]]="","-",VLOOKUP(TB_TAREFAS[[#This Row],[Atividade]],TB_ATIVIDADES[[Atividade]:[Fase]],2,FALSE))</f>
        <v>F1-DESENV</v>
      </c>
      <c r="N23" s="5" t="s">
        <v>26</v>
      </c>
      <c r="O23" s="6" t="s">
        <v>6</v>
      </c>
      <c r="P23" s="9">
        <v>20</v>
      </c>
      <c r="Q23" s="11">
        <v>46084</v>
      </c>
      <c r="R23" s="11">
        <v>46084</v>
      </c>
      <c r="S23" s="1" t="s">
        <v>8</v>
      </c>
      <c r="T23" s="1"/>
      <c r="U23" s="11"/>
      <c r="V23" s="8"/>
    </row>
    <row r="24" spans="2:22" ht="28.8" x14ac:dyDescent="0.3">
      <c r="B24" s="16" t="s">
        <v>92</v>
      </c>
      <c r="C24" s="1" t="s">
        <v>99</v>
      </c>
      <c r="D24" s="9">
        <f>COUNTIF(TB_TAREFAS[Atividade],TB_ATIVIDADES[[#This Row],[Atividade]])</f>
        <v>2</v>
      </c>
      <c r="E24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2 (100,0%)</v>
      </c>
      <c r="F24" s="9">
        <f>SUMIF(TB_TAREFAS[Atividade],TB_ATIVIDADES[[#This Row],[Atividade]],TB_TAREFAS[Esforço (min)])</f>
        <v>120</v>
      </c>
      <c r="G24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120 (100,0%)</v>
      </c>
      <c r="H24" s="11">
        <f>_xlfn.LET(_xlpm.dataMin,_xlfn.MINIFS(TB_TAREFAS[Previsão Início],TB_TAREFAS[Atividade],TB_ATIVIDADES[[#This Row],[Atividade]]),IF(_xlpm.dataMin=0,"-",_xlpm.dataMin))</f>
        <v>46096</v>
      </c>
      <c r="I24" s="11">
        <f>_xlfn.LET(_xlpm.dataMax,_xlfn.MAXIFS(TB_TAREFAS[Previsão Conclusão],TB_TAREFAS[Atividade],TB_ATIVIDADES[[#This Row],[Atividade]]),IF(_xlpm.dataMax=0,"-",_xlpm.dataMax))</f>
        <v>46097</v>
      </c>
      <c r="J24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24" s="4" t="s">
        <v>57</v>
      </c>
      <c r="M24" s="20" t="str">
        <f>IF(TB_TAREFAS[[#This Row],[Atividade]]="","-",VLOOKUP(TB_TAREFAS[[#This Row],[Atividade]],TB_ATIVIDADES[[Atividade]:[Fase]],2,FALSE))</f>
        <v>F1-DESENV</v>
      </c>
      <c r="N24" s="5" t="s">
        <v>23</v>
      </c>
      <c r="O24" s="6" t="s">
        <v>6</v>
      </c>
      <c r="P24" s="9">
        <v>40</v>
      </c>
      <c r="Q24" s="11">
        <v>46084</v>
      </c>
      <c r="R24" s="11">
        <v>46084</v>
      </c>
      <c r="S24" s="1" t="s">
        <v>8</v>
      </c>
      <c r="T24" s="1"/>
      <c r="U24" s="11"/>
      <c r="V24" s="8"/>
    </row>
    <row r="25" spans="2:22" ht="72" x14ac:dyDescent="0.3">
      <c r="B25" s="16" t="s">
        <v>76</v>
      </c>
      <c r="C25" s="1" t="s">
        <v>77</v>
      </c>
      <c r="D25" s="9">
        <f>COUNTIF(TB_TAREFAS[Atividade],TB_ATIVIDADES[[#This Row],[Atividade]])</f>
        <v>1</v>
      </c>
      <c r="E25" s="9" t="str">
        <f>_xlfn.LET(_xlpm.tot,COUNTIFS(TB_TAREFAS[Atividade],TB_ATIVIDADES[[#This Row],[Atividade]],TB_TAREFAS[Status],"&lt;&gt;" &amp; "CONCLUÍDO"),_xlpm.tot &amp; IF(TB_ATIVIDADES[[#This Row],[Total Tarefas]]=0,""," (" &amp; TEXT(_xlpm.tot/TB_ATIVIDADES[[#This Row],[Total Tarefas]],"0,0%") &amp; ")"))</f>
        <v>1 (100,0%)</v>
      </c>
      <c r="F25" s="9">
        <f>SUMIF(TB_TAREFAS[Atividade],TB_ATIVIDADES[[#This Row],[Atividade]],TB_TAREFAS[Esforço (min)])</f>
        <v>1770</v>
      </c>
      <c r="G25" s="9" t="str">
        <f>_xlfn.LET(_xlpm.esforçoRealizado,SUMIFS(TB_TAREFAS[Esforço (min)],TB_TAREFAS[Atividade],TB_ATIVIDADES[[#This Row],[Atividade]],TB_TAREFAS[Status],"CONCLUÍDO"),TB_ATIVIDADES[[#This Row],[Esforço Total (min)]]-_xlpm.esforçoRealizado &amp;  IF(TB_ATIVIDADES[[#This Row],[Esforço Total (min)]]=0,""," (" &amp; TEXT((TB_ATIVIDADES[[#This Row],[Esforço Total (min)]]-_xlpm.esforçoRealizado) / TB_ATIVIDADES[[#This Row],[Esforço Total (min)]],"0,0%") &amp; ")"))</f>
        <v>1770 (100,0%)</v>
      </c>
      <c r="H25" s="11">
        <f>_xlfn.LET(_xlpm.dataMin,_xlfn.MINIFS(TB_TAREFAS[Previsão Início],TB_TAREFAS[Atividade],TB_ATIVIDADES[[#This Row],[Atividade]]),IF(_xlpm.dataMin=0,"-",_xlpm.dataMin))</f>
        <v>46118</v>
      </c>
      <c r="I25" s="11">
        <f>_xlfn.LET(_xlpm.dataMax,_xlfn.MAXIFS(TB_TAREFAS[Previsão Conclusão],TB_TAREFAS[Atividade],TB_ATIVIDADES[[#This Row],[Atividade]]),IF(_xlpm.dataMax=0,"-",_xlpm.dataMax))</f>
        <v>46177</v>
      </c>
      <c r="J25" s="1" t="str">
        <f ca="1">IF(TB_ATIVIDADES[[#This Row],[Total Tarefas]]=0,"-",_xlfn.LET(_xlpm.totItensNaoConcluidos,COUNTIFS(TB_TAREFAS[Atividade],TB_ATIVIDADES[[#This Row],[Atividade]],TB_TAREFAS[Status],"&lt;&gt;" &amp; "CONCLUÍDO",TB_TAREFAS[Status],"&lt;&gt;" &amp; "DESNECESSÁRIO"),_xlpm.totItensConcluidos,TB_ATIVIDADES[[#This Row],[Total Tarefas]]-_xlpm.totItensNaoConcluidos,_xlpm.totItensNaoIniciados,COUNTIFS(TB_TAREFAS[Atividade],TB_ATIVIDADES[[#This Row],[Atividade]],TB_TAREFAS[Status],"NÃO INICIADO"),IF(_xlpm.totItensConcluidos=TB_ATIVIDADES[[#This Row],[Total Tarefas]],"CONCLUÍDO",IF(_xlpm.totItensNaoIniciados=TB_ATIVIDADES[[#This Row],[Total Tarefas]],IF(AND(DATE(YEAR(NOW()),MONTH(NOW()),DAY(NOW())) &gt; IFERROR(DATE(YEAR(TB_ATIVIDADES[[#This Row],[Previsão Início]]),MONTH(TB_ATIVIDADES[[#This Row],[Previsão Início]]),DAY(TB_ATIVIDADES[[#This Row],[Previsão Início]])),FALSE)),"EM ATRASO (INÍCIO)","NÃO INICIADO"),IF(AND(DATE(YEAR(NOW()),MONTH(NOW()),DAY(NOW())) &gt; IFERROR(DATE(YEAR(TB_ATIVIDADES[[#This Row],[Previsão Conclusão]]),MONTH(TB_ATIVIDADES[[#This Row],[Previsão Conclusão]]),DAY(TB_ATIVIDADES[[#This Row],[Previsão Conclusão]])),FALSE)),"EM ATRASO (CONCLUSÃO)","EM ANDAMENTO")))))</f>
        <v>NÃO INICIADO</v>
      </c>
      <c r="L25" s="4" t="s">
        <v>57</v>
      </c>
      <c r="M25" s="20" t="str">
        <f>IF(TB_TAREFAS[[#This Row],[Atividade]]="","-",VLOOKUP(TB_TAREFAS[[#This Row],[Atividade]],TB_ATIVIDADES[[Atividade]:[Fase]],2,FALSE))</f>
        <v>F1-DESENV</v>
      </c>
      <c r="N25" s="5" t="s">
        <v>24</v>
      </c>
      <c r="O25" s="6" t="s">
        <v>6</v>
      </c>
      <c r="P25" s="9">
        <v>60</v>
      </c>
      <c r="Q25" s="11">
        <v>46084</v>
      </c>
      <c r="R25" s="11">
        <v>46084</v>
      </c>
      <c r="S25" s="1" t="s">
        <v>8</v>
      </c>
      <c r="T25" s="1"/>
      <c r="U25" s="11"/>
      <c r="V25" s="8"/>
    </row>
    <row r="26" spans="2:22" ht="43.2" x14ac:dyDescent="0.3">
      <c r="L26" s="4" t="s">
        <v>57</v>
      </c>
      <c r="M26" s="20" t="str">
        <f>IF(TB_TAREFAS[[#This Row],[Atividade]]="","-",VLOOKUP(TB_TAREFAS[[#This Row],[Atividade]],TB_ATIVIDADES[[Atividade]:[Fase]],2,FALSE))</f>
        <v>F1-DESENV</v>
      </c>
      <c r="N26" s="5" t="s">
        <v>25</v>
      </c>
      <c r="O26" s="6" t="s">
        <v>6</v>
      </c>
      <c r="P26" s="9">
        <v>20</v>
      </c>
      <c r="Q26" s="11">
        <v>46084</v>
      </c>
      <c r="R26" s="11">
        <v>46084</v>
      </c>
      <c r="S26" s="1" t="s">
        <v>8</v>
      </c>
      <c r="T26" s="1"/>
      <c r="U26" s="11"/>
      <c r="V26" s="8"/>
    </row>
    <row r="27" spans="2:22" ht="28.8" x14ac:dyDescent="0.3">
      <c r="B27" s="21" t="s">
        <v>98</v>
      </c>
      <c r="C27" s="21"/>
      <c r="D27" s="21"/>
      <c r="E27" s="21"/>
      <c r="F27" s="21"/>
      <c r="G27" s="21"/>
      <c r="H27" s="21"/>
      <c r="I27" s="21"/>
      <c r="J27" s="21"/>
      <c r="L27" s="4" t="s">
        <v>57</v>
      </c>
      <c r="M27" s="20" t="str">
        <f>IF(TB_TAREFAS[[#This Row],[Atividade]]="","-",VLOOKUP(TB_TAREFAS[[#This Row],[Atividade]],TB_ATIVIDADES[[Atividade]:[Fase]],2,FALSE))</f>
        <v>F1-DESENV</v>
      </c>
      <c r="N27" s="5" t="s">
        <v>20</v>
      </c>
      <c r="O27" s="6" t="s">
        <v>19</v>
      </c>
      <c r="P27" s="9">
        <v>40</v>
      </c>
      <c r="Q27" s="11">
        <v>46084</v>
      </c>
      <c r="R27" s="11">
        <v>46084</v>
      </c>
      <c r="S27" s="1" t="s">
        <v>8</v>
      </c>
      <c r="T27" s="1"/>
      <c r="U27" s="11"/>
      <c r="V27" s="8"/>
    </row>
    <row r="28" spans="2:22" ht="28.8" x14ac:dyDescent="0.3">
      <c r="B28" s="17" t="s">
        <v>73</v>
      </c>
      <c r="C28" s="18" t="s">
        <v>100</v>
      </c>
      <c r="D28" s="18" t="s">
        <v>69</v>
      </c>
      <c r="E28" s="18" t="s">
        <v>101</v>
      </c>
      <c r="F28" s="18" t="s">
        <v>0</v>
      </c>
      <c r="G28" s="18" t="s">
        <v>1</v>
      </c>
      <c r="H28" s="18" t="s">
        <v>9</v>
      </c>
      <c r="I28" s="19" t="s">
        <v>10</v>
      </c>
      <c r="J28" s="3" t="s">
        <v>3</v>
      </c>
      <c r="L28" s="4" t="s">
        <v>57</v>
      </c>
      <c r="M28" s="20" t="str">
        <f>IF(TB_TAREFAS[[#This Row],[Atividade]]="","-",VLOOKUP(TB_TAREFAS[[#This Row],[Atividade]],TB_ATIVIDADES[[Atividade]:[Fase]],2,FALSE))</f>
        <v>F1-DESENV</v>
      </c>
      <c r="N28" s="5" t="s">
        <v>51</v>
      </c>
      <c r="O28" s="6" t="s">
        <v>19</v>
      </c>
      <c r="P28" s="9">
        <v>5</v>
      </c>
      <c r="Q28" s="11">
        <v>46084</v>
      </c>
      <c r="R28" s="11">
        <v>46084</v>
      </c>
      <c r="S28" s="1" t="s">
        <v>8</v>
      </c>
      <c r="T28" s="1"/>
      <c r="U28" s="11"/>
      <c r="V28" s="8"/>
    </row>
    <row r="29" spans="2:22" x14ac:dyDescent="0.3">
      <c r="B29" t="s">
        <v>74</v>
      </c>
      <c r="C29" s="9">
        <f>COUNTIF(TB_ATIVIDADES[Fase],TB_FASES[[#This Row],[Fase]])</f>
        <v>15</v>
      </c>
      <c r="D29" s="1">
        <f>SUMIF(TB_ATIVIDADES[Fase],TB_FASES[[#This Row],[Fase]],TB_ATIVIDADES[Total Tarefas])</f>
        <v>80</v>
      </c>
      <c r="E29" s="1" t="str">
        <f ca="1">_xlfn.LET(_xlpm.tot,COUNTIFS(TB_ATIVIDADES[Fase],TB_FASES[[#This Row],[Fase]],TB_ATIVIDADES[Status],"&lt;&gt;" &amp; "CONCLUÍDO"),_xlpm.tot &amp; IF(TB_FASES[[#This Row],[Total Atividades]]=0,""," (" &amp; TEXT(_xlpm.tot/TB_FASES[[#This Row],[Total Atividades]],"0,0%") &amp; ")"))</f>
        <v>12 (80,0%)</v>
      </c>
      <c r="F29" s="1">
        <f>SUMIF(TB_ATIVIDADES[Fase],TB_FASES[[#This Row],[Fase]],TB_ATIVIDADES[Esforço Total (min)])</f>
        <v>1970</v>
      </c>
      <c r="G29" s="1" t="str">
        <f>_xlfn.LET(_xlpm.esforcoRealizado,SUMIFS(TB_TAREFAS[Esforço (min)],TB_TAREFAS[Fase],TB_FASES[[#This Row],[Fase]],TB_TAREFAS[Status],"CONCLUÍDO"),(TB_FASES[[#This Row],[Esforço Total (min)]]-_xlpm.esforcoRealizado) &amp; " ("&amp;TEXT((TB_FASES[[#This Row],[Esforço Total (min)]]-_xlpm.esforcoRealizado)/TB_FASES[[#This Row],[Esforço Total (min)]],"0,0%")&amp;")")</f>
        <v>1710 (86,8%)</v>
      </c>
      <c r="H29" s="11">
        <f>_xlfn.MINIFS(TB_ATIVIDADES[Previsão Início],TB_ATIVIDADES[Fase],TB_FASES[[#This Row],[Fase]])</f>
        <v>46083</v>
      </c>
      <c r="I29" s="11">
        <f>_xlfn.MAXIFS(TB_ATIVIDADES[Previsão Conclusão],TB_ATIVIDADES[Fase],TB_FASES[[#This Row],[Fase]])</f>
        <v>46091</v>
      </c>
      <c r="J29" s="1" t="str">
        <f ca="1">IF(TB_FASES[[#This Row],[Total Atividades]]=0,"-",_xlfn.LET(_xlpm.totAtivNaoConcluidas,COUNTIFS(TB_ATIVIDADES[Fase],TB_FASES[[#This Row],[Fase]],TB_ATIVIDADES[Status],"&lt;&gt;" &amp; "CONCLUÍDO"),_xlpm.totAtivConcluidas,TB_FASES[[#This Row],[Total Atividades]]-_xlpm.totAtivNaoConcluidas,_xlpm.totAtivNaoIniciadas,COUNTIFS(TB_ATIVIDADES[Fase],TB_FASES[[#This Row],[Fase]],TB_ATIVIDADES[Status],"NÃO INICIADO"),IF(_xlpm.totAtivConcluidas=TB_FASES[[#This Row],[Total Atividades]],"CONCLUÍDO",IF(_xlpm.totAtivNaoIniciadas=TB_FASES[[#This Row],[Total Atividades]],IF(AND(DATE(YEAR(NOW()),MONTH(NOW()),DAY(NOW())) &gt; IFERROR(DATE(YEAR(TB_FASES[[#This Row],[Previsão Início]]),MONTH(TB_FASES[[#This Row],[Previsão Início]]),DAY(TB_FASES[[#This Row],[Previsão Início]])),FALSE)),"EM ATRASO (INÍCIO)","NÃO INICIADO"),IF(AND(DATE(YEAR(NOW()),MONTH(NOW()),DAY(NOW())) &gt; IFERROR(DATE(YEAR(TB_FASES[[#This Row],[Previsão Conclusão]]),MONTH(TB_FASES[[#This Row],[Previsão Conclusão]]),DAY(TB_FASES[[#This Row],[Previsão Conclusão]])),FALSE)),"EM ATRASO (CONCLUSÃO)","EM ANDAMENTO")))))</f>
        <v>EM ANDAMENTO</v>
      </c>
      <c r="L29" s="4" t="s">
        <v>58</v>
      </c>
      <c r="M29" s="20" t="str">
        <f>IF(TB_TAREFAS[[#This Row],[Atividade]]="","-",VLOOKUP(TB_TAREFAS[[#This Row],[Atividade]],TB_ATIVIDADES[[Atividade]:[Fase]],2,FALSE))</f>
        <v>F1-DESENV</v>
      </c>
      <c r="N29" s="5" t="s">
        <v>7</v>
      </c>
      <c r="O29" s="6" t="s">
        <v>5</v>
      </c>
      <c r="P29" s="9">
        <v>20</v>
      </c>
      <c r="Q29" s="11">
        <v>46085</v>
      </c>
      <c r="R29" s="11">
        <v>46085</v>
      </c>
      <c r="S29" s="1" t="s">
        <v>8</v>
      </c>
      <c r="T29" s="1"/>
      <c r="U29" s="11"/>
      <c r="V29" s="8"/>
    </row>
    <row r="30" spans="2:22" x14ac:dyDescent="0.3">
      <c r="B30" t="s">
        <v>75</v>
      </c>
      <c r="C30" s="9">
        <f>COUNTIF(TB_ATIVIDADES[Fase],TB_FASES[[#This Row],[Fase]])</f>
        <v>1</v>
      </c>
      <c r="D30" s="1">
        <f>SUMIF(TB_ATIVIDADES[Fase],TB_FASES[[#This Row],[Fase]],TB_ATIVIDADES[Total Tarefas])</f>
        <v>4</v>
      </c>
      <c r="E30" s="1" t="str">
        <f ca="1">_xlfn.LET(_xlpm.tot,COUNTIFS(TB_ATIVIDADES[Fase],TB_FASES[[#This Row],[Fase]],TB_ATIVIDADES[Status],"&lt;&gt;" &amp; "CONCLUÍDO"),_xlpm.tot &amp; IF(TB_FASES[[#This Row],[Total Atividades]]=0,""," (" &amp; TEXT(_xlpm.tot/TB_FASES[[#This Row],[Total Atividades]],"0,0%") &amp; ")"))</f>
        <v>1 (100,0%)</v>
      </c>
      <c r="F30" s="1">
        <f>SUMIF(TB_ATIVIDADES[Fase],TB_FASES[[#This Row],[Fase]],TB_ATIVIDADES[Esforço Total (min)])</f>
        <v>420</v>
      </c>
      <c r="G30" s="1" t="str">
        <f>_xlfn.LET(_xlpm.esforcoRealizado,SUMIFS(TB_TAREFAS[Esforço (min)],TB_TAREFAS[Fase],TB_FASES[[#This Row],[Fase]],TB_TAREFAS[Status],"CONCLUÍDO"),(TB_FASES[[#This Row],[Esforço Total (min)]]-_xlpm.esforcoRealizado) &amp; " ("&amp;TEXT((TB_FASES[[#This Row],[Esforço Total (min)]]-_xlpm.esforcoRealizado)/TB_FASES[[#This Row],[Esforço Total (min)]],"0,0%")&amp;")")</f>
        <v>420 (100,0%)</v>
      </c>
      <c r="H30" s="11">
        <f>_xlfn.MINIFS(TB_ATIVIDADES[Previsão Início],TB_ATIVIDADES[Fase],TB_FASES[[#This Row],[Fase]])</f>
        <v>46092</v>
      </c>
      <c r="I30" s="11">
        <f>_xlfn.MAXIFS(TB_ATIVIDADES[Previsão Conclusão],TB_ATIVIDADES[Fase],TB_FASES[[#This Row],[Fase]])</f>
        <v>46093</v>
      </c>
      <c r="J30" s="1" t="str">
        <f ca="1">IF(TB_FASES[[#This Row],[Total Atividades]]=0,"-",_xlfn.LET(_xlpm.totAtivNaoConcluidas,COUNTIFS(TB_ATIVIDADES[Fase],TB_FASES[[#This Row],[Fase]],TB_ATIVIDADES[Status],"&lt;&gt;" &amp; "CONCLUÍDO"),_xlpm.totAtivConcluidas,TB_FASES[[#This Row],[Total Atividades]]-_xlpm.totAtivNaoConcluidas,_xlpm.totAtivNaoIniciadas,COUNTIFS(TB_ATIVIDADES[Fase],TB_FASES[[#This Row],[Fase]],TB_ATIVIDADES[Status],"NÃO INICIADO"),IF(_xlpm.totAtivConcluidas=TB_FASES[[#This Row],[Total Atividades]],"CONCLUÍDO",IF(_xlpm.totAtivNaoIniciadas=TB_FASES[[#This Row],[Total Atividades]],IF(AND(DATE(YEAR(NOW()),MONTH(NOW()),DAY(NOW())) &gt; IFERROR(DATE(YEAR(TB_FASES[[#This Row],[Previsão Início]]),MONTH(TB_FASES[[#This Row],[Previsão Início]]),DAY(TB_FASES[[#This Row],[Previsão Início]])),FALSE)),"EM ATRASO (INÍCIO)","NÃO INICIADO"),IF(AND(DATE(YEAR(NOW()),MONTH(NOW()),DAY(NOW())) &gt; IFERROR(DATE(YEAR(TB_FASES[[#This Row],[Previsão Conclusão]]),MONTH(TB_FASES[[#This Row],[Previsão Conclusão]]),DAY(TB_FASES[[#This Row],[Previsão Conclusão]])),FALSE)),"EM ATRASO (CONCLUSÃO)","EM ANDAMENTO")))))</f>
        <v>NÃO INICIADO</v>
      </c>
      <c r="L30" s="4" t="s">
        <v>58</v>
      </c>
      <c r="M30" s="20" t="str">
        <f>IF(TB_TAREFAS[[#This Row],[Atividade]]="","-",VLOOKUP(TB_TAREFAS[[#This Row],[Atividade]],TB_ATIVIDADES[[Atividade]:[Fase]],2,FALSE))</f>
        <v>F1-DESENV</v>
      </c>
      <c r="N30" s="5" t="s">
        <v>11</v>
      </c>
      <c r="O30" s="6" t="s">
        <v>6</v>
      </c>
      <c r="P30" s="9">
        <v>30</v>
      </c>
      <c r="Q30" s="11">
        <v>46085</v>
      </c>
      <c r="R30" s="11">
        <v>46085</v>
      </c>
      <c r="S30" s="1" t="s">
        <v>8</v>
      </c>
      <c r="T30" s="1"/>
      <c r="U30" s="11"/>
      <c r="V30" s="8"/>
    </row>
    <row r="31" spans="2:22" x14ac:dyDescent="0.3">
      <c r="B31" t="s">
        <v>99</v>
      </c>
      <c r="C31" s="9">
        <f>COUNTIF(TB_ATIVIDADES[Fase],TB_FASES[[#This Row],[Fase]])</f>
        <v>3</v>
      </c>
      <c r="D31" s="1">
        <f>SUMIF(TB_ATIVIDADES[Fase],TB_FASES[[#This Row],[Fase]],TB_ATIVIDADES[Total Tarefas])</f>
        <v>9</v>
      </c>
      <c r="E31" s="1" t="str">
        <f ca="1">_xlfn.LET(_xlpm.tot,COUNTIFS(TB_ATIVIDADES[Fase],TB_FASES[[#This Row],[Fase]],TB_ATIVIDADES[Status],"&lt;&gt;" &amp; "CONCLUÍDO"),_xlpm.tot &amp; IF(TB_FASES[[#This Row],[Total Atividades]]=0,""," (" &amp; TEXT(_xlpm.tot/TB_FASES[[#This Row],[Total Atividades]],"0,0%") &amp; ")"))</f>
        <v>3 (100,0%)</v>
      </c>
      <c r="F31" s="1">
        <f>SUMIF(TB_ATIVIDADES[Fase],TB_FASES[[#This Row],[Fase]],TB_ATIVIDADES[Esforço Total (min)])</f>
        <v>790</v>
      </c>
      <c r="G31" s="1" t="str">
        <f>_xlfn.LET(_xlpm.esforcoRealizado,SUMIFS(TB_TAREFAS[Esforço (min)],TB_TAREFAS[Fase],TB_FASES[[#This Row],[Fase]],TB_TAREFAS[Status],"CONCLUÍDO"),(TB_FASES[[#This Row],[Esforço Total (min)]]-_xlpm.esforcoRealizado) &amp; " ("&amp;TEXT((TB_FASES[[#This Row],[Esforço Total (min)]]-_xlpm.esforcoRealizado)/TB_FASES[[#This Row],[Esforço Total (min)]],"0,0%")&amp;")")</f>
        <v>790 (100,0%)</v>
      </c>
      <c r="H31" s="11">
        <f>_xlfn.MINIFS(TB_ATIVIDADES[Previsão Início],TB_ATIVIDADES[Fase],TB_FASES[[#This Row],[Fase]])</f>
        <v>46093</v>
      </c>
      <c r="I31" s="11">
        <f>_xlfn.MAXIFS(TB_ATIVIDADES[Previsão Conclusão],TB_ATIVIDADES[Fase],TB_FASES[[#This Row],[Fase]])</f>
        <v>46097</v>
      </c>
      <c r="J31" s="1" t="str">
        <f ca="1">IF(TB_FASES[[#This Row],[Total Atividades]]=0,"-",_xlfn.LET(_xlpm.totAtivNaoConcluidas,COUNTIFS(TB_ATIVIDADES[Fase],TB_FASES[[#This Row],[Fase]],TB_ATIVIDADES[Status],"&lt;&gt;" &amp; "CONCLUÍDO"),_xlpm.totAtivConcluidas,TB_FASES[[#This Row],[Total Atividades]]-_xlpm.totAtivNaoConcluidas,_xlpm.totAtivNaoIniciadas,COUNTIFS(TB_ATIVIDADES[Fase],TB_FASES[[#This Row],[Fase]],TB_ATIVIDADES[Status],"NÃO INICIADO"),IF(_xlpm.totAtivConcluidas=TB_FASES[[#This Row],[Total Atividades]],"CONCLUÍDO",IF(_xlpm.totAtivNaoIniciadas=TB_FASES[[#This Row],[Total Atividades]],IF(AND(DATE(YEAR(NOW()),MONTH(NOW()),DAY(NOW())) &gt; IFERROR(DATE(YEAR(TB_FASES[[#This Row],[Previsão Início]]),MONTH(TB_FASES[[#This Row],[Previsão Início]]),DAY(TB_FASES[[#This Row],[Previsão Início]])),FALSE)),"EM ATRASO (INÍCIO)","NÃO INICIADO"),IF(AND(DATE(YEAR(NOW()),MONTH(NOW()),DAY(NOW())) &gt; IFERROR(DATE(YEAR(TB_FASES[[#This Row],[Previsão Conclusão]]),MONTH(TB_FASES[[#This Row],[Previsão Conclusão]]),DAY(TB_FASES[[#This Row],[Previsão Conclusão]])),FALSE)),"EM ATRASO (CONCLUSÃO)","EM ANDAMENTO")))))</f>
        <v>NÃO INICIADO</v>
      </c>
      <c r="L31" s="4" t="s">
        <v>58</v>
      </c>
      <c r="M31" s="20" t="str">
        <f>IF(TB_TAREFAS[[#This Row],[Atividade]]="","-",VLOOKUP(TB_TAREFAS[[#This Row],[Atividade]],TB_ATIVIDADES[[Atividade]:[Fase]],2,FALSE))</f>
        <v>F1-DESENV</v>
      </c>
      <c r="N31" s="5" t="s">
        <v>14</v>
      </c>
      <c r="O31" s="6" t="s">
        <v>6</v>
      </c>
      <c r="P31" s="9">
        <v>20</v>
      </c>
      <c r="Q31" s="11">
        <v>46085</v>
      </c>
      <c r="R31" s="11">
        <v>46085</v>
      </c>
      <c r="S31" s="1" t="s">
        <v>8</v>
      </c>
      <c r="T31" s="1"/>
      <c r="U31" s="11"/>
      <c r="V31" s="8"/>
    </row>
    <row r="32" spans="2:22" x14ac:dyDescent="0.3">
      <c r="B32" t="s">
        <v>77</v>
      </c>
      <c r="C32" s="9">
        <f>COUNTIF(TB_ATIVIDADES[Fase],TB_FASES[[#This Row],[Fase]])</f>
        <v>1</v>
      </c>
      <c r="D32" s="1">
        <f>SUMIF(TB_ATIVIDADES[Fase],TB_FASES[[#This Row],[Fase]],TB_ATIVIDADES[Total Tarefas])</f>
        <v>1</v>
      </c>
      <c r="E32" s="1" t="str">
        <f ca="1">_xlfn.LET(_xlpm.tot,COUNTIFS(TB_ATIVIDADES[Fase],TB_FASES[[#This Row],[Fase]],TB_ATIVIDADES[Status],"&lt;&gt;" &amp; "CONCLUÍDO"),_xlpm.tot &amp; IF(TB_FASES[[#This Row],[Total Atividades]]=0,""," (" &amp; TEXT(_xlpm.tot/TB_FASES[[#This Row],[Total Atividades]],"0,0%") &amp; ")"))</f>
        <v>1 (100,0%)</v>
      </c>
      <c r="F32" s="1">
        <f>SUMIF(TB_ATIVIDADES[Fase],TB_FASES[[#This Row],[Fase]],TB_ATIVIDADES[Esforço Total (min)])</f>
        <v>1770</v>
      </c>
      <c r="G32" s="1" t="str">
        <f>_xlfn.LET(_xlpm.esforcoRealizado,SUMIFS(TB_TAREFAS[Esforço (min)],TB_TAREFAS[Fase],TB_FASES[[#This Row],[Fase]],TB_TAREFAS[Status],"CONCLUÍDO"),(TB_FASES[[#This Row],[Esforço Total (min)]]-_xlpm.esforcoRealizado) &amp; " ("&amp;TEXT((TB_FASES[[#This Row],[Esforço Total (min)]]-_xlpm.esforcoRealizado)/TB_FASES[[#This Row],[Esforço Total (min)]],"0,0%")&amp;")")</f>
        <v>1770 (100,0%)</v>
      </c>
      <c r="H32" s="11">
        <f>_xlfn.MINIFS(TB_ATIVIDADES[Previsão Início],TB_ATIVIDADES[Fase],TB_FASES[[#This Row],[Fase]])</f>
        <v>46118</v>
      </c>
      <c r="I32" s="11">
        <f>_xlfn.MAXIFS(TB_ATIVIDADES[Previsão Conclusão],TB_ATIVIDADES[Fase],TB_FASES[[#This Row],[Fase]])</f>
        <v>46177</v>
      </c>
      <c r="J32" s="1" t="str">
        <f ca="1">IF(TB_FASES[[#This Row],[Total Atividades]]=0,"-",_xlfn.LET(_xlpm.totAtivNaoConcluidas,COUNTIFS(TB_ATIVIDADES[Fase],TB_FASES[[#This Row],[Fase]],TB_ATIVIDADES[Status],"&lt;&gt;" &amp; "CONCLUÍDO"),_xlpm.totAtivConcluidas,TB_FASES[[#This Row],[Total Atividades]]-_xlpm.totAtivNaoConcluidas,_xlpm.totAtivNaoIniciadas,COUNTIFS(TB_ATIVIDADES[Fase],TB_FASES[[#This Row],[Fase]],TB_ATIVIDADES[Status],"NÃO INICIADO"),IF(_xlpm.totAtivConcluidas=TB_FASES[[#This Row],[Total Atividades]],"CONCLUÍDO",IF(_xlpm.totAtivNaoIniciadas=TB_FASES[[#This Row],[Total Atividades]],IF(AND(DATE(YEAR(NOW()),MONTH(NOW()),DAY(NOW())) &gt; IFERROR(DATE(YEAR(TB_FASES[[#This Row],[Previsão Início]]),MONTH(TB_FASES[[#This Row],[Previsão Início]]),DAY(TB_FASES[[#This Row],[Previsão Início]])),FALSE)),"EM ATRASO (INÍCIO)","NÃO INICIADO"),IF(AND(DATE(YEAR(NOW()),MONTH(NOW()),DAY(NOW())) &gt; IFERROR(DATE(YEAR(TB_FASES[[#This Row],[Previsão Conclusão]]),MONTH(TB_FASES[[#This Row],[Previsão Conclusão]]),DAY(TB_FASES[[#This Row],[Previsão Conclusão]])),FALSE)),"EM ATRASO (CONCLUSÃO)","EM ANDAMENTO")))))</f>
        <v>NÃO INICIADO</v>
      </c>
      <c r="L32" s="4" t="s">
        <v>58</v>
      </c>
      <c r="M32" s="20" t="str">
        <f>IF(TB_TAREFAS[[#This Row],[Atividade]]="","-",VLOOKUP(TB_TAREFAS[[#This Row],[Atividade]],TB_ATIVIDADES[[Atividade]:[Fase]],2,FALSE))</f>
        <v>F1-DESENV</v>
      </c>
      <c r="N32" s="5" t="s">
        <v>20</v>
      </c>
      <c r="O32" s="6" t="s">
        <v>19</v>
      </c>
      <c r="P32" s="9">
        <v>20</v>
      </c>
      <c r="Q32" s="11">
        <v>46085</v>
      </c>
      <c r="R32" s="11">
        <v>46085</v>
      </c>
      <c r="S32" s="1" t="s">
        <v>8</v>
      </c>
      <c r="T32" s="1"/>
      <c r="U32" s="11"/>
      <c r="V32" s="8"/>
    </row>
    <row r="33" spans="10:22" x14ac:dyDescent="0.3">
      <c r="L33" s="4" t="s">
        <v>58</v>
      </c>
      <c r="M33" s="20" t="str">
        <f>IF(TB_TAREFAS[[#This Row],[Atividade]]="","-",VLOOKUP(TB_TAREFAS[[#This Row],[Atividade]],TB_ATIVIDADES[[Atividade]:[Fase]],2,FALSE))</f>
        <v>F1-DESENV</v>
      </c>
      <c r="N33" s="5" t="s">
        <v>51</v>
      </c>
      <c r="O33" s="6" t="s">
        <v>19</v>
      </c>
      <c r="P33" s="9">
        <v>5</v>
      </c>
      <c r="Q33" s="11">
        <v>46085</v>
      </c>
      <c r="R33" s="11">
        <v>46085</v>
      </c>
      <c r="S33" s="1" t="s">
        <v>8</v>
      </c>
      <c r="T33" s="1"/>
      <c r="U33" s="11"/>
      <c r="V33" s="8"/>
    </row>
    <row r="34" spans="10:22" ht="86.4" x14ac:dyDescent="0.3">
      <c r="L34" s="4" t="s">
        <v>59</v>
      </c>
      <c r="M34" s="20" t="str">
        <f>IF(TB_TAREFAS[[#This Row],[Atividade]]="","-",VLOOKUP(TB_TAREFAS[[#This Row],[Atividade]],TB_ATIVIDADES[[Atividade]:[Fase]],2,FALSE))</f>
        <v>F1-DESENV</v>
      </c>
      <c r="N34" s="5" t="s">
        <v>29</v>
      </c>
      <c r="O34" s="6" t="s">
        <v>5</v>
      </c>
      <c r="P34" s="9">
        <v>30</v>
      </c>
      <c r="Q34" s="11">
        <v>46085</v>
      </c>
      <c r="R34" s="11">
        <v>46085</v>
      </c>
      <c r="S34" s="1" t="s">
        <v>8</v>
      </c>
      <c r="T34" s="1"/>
      <c r="U34" s="11"/>
      <c r="V34" s="8"/>
    </row>
    <row r="35" spans="10:22" x14ac:dyDescent="0.3">
      <c r="J35" s="12"/>
      <c r="L35" s="4" t="s">
        <v>59</v>
      </c>
      <c r="M35" s="20" t="str">
        <f>IF(TB_TAREFAS[[#This Row],[Atividade]]="","-",VLOOKUP(TB_TAREFAS[[#This Row],[Atividade]],TB_ATIVIDADES[[Atividade]:[Fase]],2,FALSE))</f>
        <v>F1-DESENV</v>
      </c>
      <c r="N35" s="5" t="s">
        <v>31</v>
      </c>
      <c r="O35" s="6" t="s">
        <v>6</v>
      </c>
      <c r="P35" s="9">
        <v>20</v>
      </c>
      <c r="Q35" s="11">
        <v>46085</v>
      </c>
      <c r="R35" s="11">
        <v>46085</v>
      </c>
      <c r="S35" s="1" t="s">
        <v>8</v>
      </c>
      <c r="T35" s="1"/>
      <c r="U35" s="11"/>
      <c r="V35" s="8"/>
    </row>
    <row r="36" spans="10:22" ht="43.2" x14ac:dyDescent="0.3">
      <c r="L36" s="4" t="s">
        <v>59</v>
      </c>
      <c r="M36" s="20" t="str">
        <f>IF(TB_TAREFAS[[#This Row],[Atividade]]="","-",VLOOKUP(TB_TAREFAS[[#This Row],[Atividade]],TB_ATIVIDADES[[Atividade]:[Fase]],2,FALSE))</f>
        <v>F1-DESENV</v>
      </c>
      <c r="N36" s="5" t="s">
        <v>34</v>
      </c>
      <c r="O36" s="6" t="s">
        <v>6</v>
      </c>
      <c r="P36" s="9">
        <v>20</v>
      </c>
      <c r="Q36" s="11">
        <v>46085</v>
      </c>
      <c r="R36" s="11">
        <v>46085</v>
      </c>
      <c r="S36" s="1" t="s">
        <v>8</v>
      </c>
      <c r="T36" s="1"/>
      <c r="U36" s="11"/>
      <c r="V36" s="8"/>
    </row>
    <row r="37" spans="10:22" x14ac:dyDescent="0.3">
      <c r="L37" s="4" t="s">
        <v>59</v>
      </c>
      <c r="M37" s="20" t="str">
        <f>IF(TB_TAREFAS[[#This Row],[Atividade]]="","-",VLOOKUP(TB_TAREFAS[[#This Row],[Atividade]],TB_ATIVIDADES[[Atividade]:[Fase]],2,FALSE))</f>
        <v>F1-DESENV</v>
      </c>
      <c r="N37" s="5" t="s">
        <v>20</v>
      </c>
      <c r="O37" s="6" t="s">
        <v>19</v>
      </c>
      <c r="P37" s="9">
        <v>20</v>
      </c>
      <c r="Q37" s="11">
        <v>46085</v>
      </c>
      <c r="R37" s="11">
        <v>46085</v>
      </c>
      <c r="S37" s="1" t="s">
        <v>8</v>
      </c>
      <c r="T37" s="1"/>
      <c r="U37" s="11"/>
      <c r="V37" s="8"/>
    </row>
    <row r="38" spans="10:22" x14ac:dyDescent="0.3">
      <c r="J38" s="12"/>
      <c r="L38" s="4" t="s">
        <v>59</v>
      </c>
      <c r="M38" s="20" t="str">
        <f>IF(TB_TAREFAS[[#This Row],[Atividade]]="","-",VLOOKUP(TB_TAREFAS[[#This Row],[Atividade]],TB_ATIVIDADES[[Atividade]:[Fase]],2,FALSE))</f>
        <v>F1-DESENV</v>
      </c>
      <c r="N38" s="5" t="s">
        <v>51</v>
      </c>
      <c r="O38" s="6" t="s">
        <v>19</v>
      </c>
      <c r="P38" s="9">
        <v>5</v>
      </c>
      <c r="Q38" s="11">
        <v>46085</v>
      </c>
      <c r="R38" s="11">
        <v>46085</v>
      </c>
      <c r="S38" s="1" t="s">
        <v>8</v>
      </c>
      <c r="T38" s="1"/>
      <c r="U38" s="11"/>
      <c r="V38" s="8"/>
    </row>
    <row r="39" spans="10:22" x14ac:dyDescent="0.3">
      <c r="J39" s="12"/>
      <c r="L39" s="4" t="s">
        <v>65</v>
      </c>
      <c r="M39" s="20" t="str">
        <f>IF(TB_TAREFAS[[#This Row],[Atividade]]="","-",VLOOKUP(TB_TAREFAS[[#This Row],[Atividade]],TB_ATIVIDADES[[Atividade]:[Fase]],2,FALSE))</f>
        <v>F1-DESENV</v>
      </c>
      <c r="N39" s="5" t="s">
        <v>7</v>
      </c>
      <c r="O39" s="6" t="s">
        <v>5</v>
      </c>
      <c r="P39" s="9">
        <v>30</v>
      </c>
      <c r="Q39" s="11">
        <v>46086</v>
      </c>
      <c r="R39" s="11">
        <v>46086</v>
      </c>
      <c r="S39" s="1" t="s">
        <v>8</v>
      </c>
      <c r="T39" s="1"/>
      <c r="U39" s="11"/>
      <c r="V39" s="8"/>
    </row>
    <row r="40" spans="10:22" ht="72" x14ac:dyDescent="0.3">
      <c r="L40" s="4" t="s">
        <v>65</v>
      </c>
      <c r="M40" s="20" t="str">
        <f>IF(TB_TAREFAS[[#This Row],[Atividade]]="","-",VLOOKUP(TB_TAREFAS[[#This Row],[Atividade]],TB_ATIVIDADES[[Atividade]:[Fase]],2,FALSE))</f>
        <v>F1-DESENV</v>
      </c>
      <c r="N40" s="5" t="s">
        <v>27</v>
      </c>
      <c r="O40" s="6" t="s">
        <v>6</v>
      </c>
      <c r="P40" s="9">
        <v>30</v>
      </c>
      <c r="Q40" s="11">
        <v>46086</v>
      </c>
      <c r="R40" s="11">
        <v>46086</v>
      </c>
      <c r="S40" s="1" t="s">
        <v>8</v>
      </c>
      <c r="T40" s="1"/>
      <c r="U40" s="11"/>
      <c r="V40" s="8"/>
    </row>
    <row r="41" spans="10:22" ht="86.4" x14ac:dyDescent="0.3">
      <c r="L41" s="4" t="s">
        <v>65</v>
      </c>
      <c r="M41" s="20" t="str">
        <f>IF(TB_TAREFAS[[#This Row],[Atividade]]="","-",VLOOKUP(TB_TAREFAS[[#This Row],[Atividade]],TB_ATIVIDADES[[Atividade]:[Fase]],2,FALSE))</f>
        <v>F1-DESENV</v>
      </c>
      <c r="N41" s="5" t="s">
        <v>30</v>
      </c>
      <c r="O41" s="6" t="s">
        <v>6</v>
      </c>
      <c r="P41" s="9">
        <v>30</v>
      </c>
      <c r="Q41" s="11">
        <v>46086</v>
      </c>
      <c r="R41" s="11">
        <v>46086</v>
      </c>
      <c r="S41" s="1" t="s">
        <v>8</v>
      </c>
      <c r="T41" s="1"/>
      <c r="U41" s="11"/>
      <c r="V41" s="8"/>
    </row>
    <row r="42" spans="10:22" x14ac:dyDescent="0.3">
      <c r="L42" s="4" t="s">
        <v>65</v>
      </c>
      <c r="M42" s="20" t="str">
        <f>IF(TB_TAREFAS[[#This Row],[Atividade]]="","-",VLOOKUP(TB_TAREFAS[[#This Row],[Atividade]],TB_ATIVIDADES[[Atividade]:[Fase]],2,FALSE))</f>
        <v>F1-DESENV</v>
      </c>
      <c r="N42" s="5" t="s">
        <v>20</v>
      </c>
      <c r="O42" s="6" t="s">
        <v>19</v>
      </c>
      <c r="P42" s="9">
        <v>30</v>
      </c>
      <c r="Q42" s="11">
        <v>46086</v>
      </c>
      <c r="R42" s="11">
        <v>46086</v>
      </c>
      <c r="S42" s="1" t="s">
        <v>8</v>
      </c>
      <c r="T42" s="1"/>
      <c r="U42" s="11"/>
      <c r="V42" s="8"/>
    </row>
    <row r="43" spans="10:22" x14ac:dyDescent="0.3">
      <c r="L43" s="4" t="s">
        <v>65</v>
      </c>
      <c r="M43" s="20" t="str">
        <f>IF(TB_TAREFAS[[#This Row],[Atividade]]="","-",VLOOKUP(TB_TAREFAS[[#This Row],[Atividade]],TB_ATIVIDADES[[Atividade]:[Fase]],2,FALSE))</f>
        <v>F1-DESENV</v>
      </c>
      <c r="N43" s="5" t="s">
        <v>51</v>
      </c>
      <c r="O43" s="6" t="s">
        <v>19</v>
      </c>
      <c r="P43" s="9">
        <v>5</v>
      </c>
      <c r="Q43" s="11">
        <v>46086</v>
      </c>
      <c r="R43" s="11">
        <v>46086</v>
      </c>
      <c r="S43" s="1" t="s">
        <v>8</v>
      </c>
      <c r="T43" s="1"/>
      <c r="U43" s="11"/>
      <c r="V43" s="8"/>
    </row>
    <row r="44" spans="10:22" x14ac:dyDescent="0.3">
      <c r="L44" s="4" t="s">
        <v>60</v>
      </c>
      <c r="M44" s="20" t="str">
        <f>IF(TB_TAREFAS[[#This Row],[Atividade]]="","-",VLOOKUP(TB_TAREFAS[[#This Row],[Atividade]],TB_ATIVIDADES[[Atividade]:[Fase]],2,FALSE))</f>
        <v>F1-DESENV</v>
      </c>
      <c r="N44" s="5" t="s">
        <v>7</v>
      </c>
      <c r="O44" s="6" t="s">
        <v>5</v>
      </c>
      <c r="P44" s="9">
        <v>20</v>
      </c>
      <c r="Q44" s="11">
        <v>46086</v>
      </c>
      <c r="R44" s="11">
        <v>46086</v>
      </c>
      <c r="S44" s="1" t="s">
        <v>8</v>
      </c>
      <c r="T44" s="1"/>
      <c r="U44" s="11"/>
      <c r="V44" s="8"/>
    </row>
    <row r="45" spans="10:22" ht="28.8" x14ac:dyDescent="0.3">
      <c r="L45" s="4" t="s">
        <v>60</v>
      </c>
      <c r="M45" s="20" t="str">
        <f>IF(TB_TAREFAS[[#This Row],[Atividade]]="","-",VLOOKUP(TB_TAREFAS[[#This Row],[Atividade]],TB_ATIVIDADES[[Atividade]:[Fase]],2,FALSE))</f>
        <v>F1-DESENV</v>
      </c>
      <c r="N45" s="5" t="s">
        <v>35</v>
      </c>
      <c r="O45" s="6" t="s">
        <v>6</v>
      </c>
      <c r="P45" s="9">
        <v>20</v>
      </c>
      <c r="Q45" s="11">
        <v>46086</v>
      </c>
      <c r="R45" s="11">
        <v>46086</v>
      </c>
      <c r="S45" s="1" t="s">
        <v>8</v>
      </c>
      <c r="T45" s="1"/>
      <c r="U45" s="11"/>
      <c r="V45" s="8"/>
    </row>
    <row r="46" spans="10:22" x14ac:dyDescent="0.3">
      <c r="L46" s="4" t="s">
        <v>60</v>
      </c>
      <c r="M46" s="20" t="str">
        <f>IF(TB_TAREFAS[[#This Row],[Atividade]]="","-",VLOOKUP(TB_TAREFAS[[#This Row],[Atividade]],TB_ATIVIDADES[[Atividade]:[Fase]],2,FALSE))</f>
        <v>F1-DESENV</v>
      </c>
      <c r="N46" s="5" t="s">
        <v>11</v>
      </c>
      <c r="O46" s="6" t="s">
        <v>6</v>
      </c>
      <c r="P46" s="9">
        <v>20</v>
      </c>
      <c r="Q46" s="11">
        <v>46086</v>
      </c>
      <c r="R46" s="11">
        <v>46086</v>
      </c>
      <c r="S46" s="1" t="s">
        <v>8</v>
      </c>
      <c r="T46" s="1"/>
      <c r="U46" s="11"/>
      <c r="V46" s="8"/>
    </row>
    <row r="47" spans="10:22" ht="28.8" x14ac:dyDescent="0.3">
      <c r="L47" s="4" t="s">
        <v>60</v>
      </c>
      <c r="M47" s="20" t="str">
        <f>IF(TB_TAREFAS[[#This Row],[Atividade]]="","-",VLOOKUP(TB_TAREFAS[[#This Row],[Atividade]],TB_ATIVIDADES[[Atividade]:[Fase]],2,FALSE))</f>
        <v>F1-DESENV</v>
      </c>
      <c r="N47" s="5" t="s">
        <v>37</v>
      </c>
      <c r="O47" s="6" t="s">
        <v>6</v>
      </c>
      <c r="P47" s="9">
        <v>30</v>
      </c>
      <c r="Q47" s="11">
        <v>46086</v>
      </c>
      <c r="R47" s="11">
        <v>46086</v>
      </c>
      <c r="S47" s="1" t="s">
        <v>8</v>
      </c>
      <c r="T47" s="1"/>
      <c r="U47" s="11"/>
      <c r="V47" s="8"/>
    </row>
    <row r="48" spans="10:22" x14ac:dyDescent="0.3">
      <c r="L48" s="4" t="s">
        <v>60</v>
      </c>
      <c r="M48" s="20" t="str">
        <f>IF(TB_TAREFAS[[#This Row],[Atividade]]="","-",VLOOKUP(TB_TAREFAS[[#This Row],[Atividade]],TB_ATIVIDADES[[Atividade]:[Fase]],2,FALSE))</f>
        <v>F1-DESENV</v>
      </c>
      <c r="N48" s="5" t="s">
        <v>20</v>
      </c>
      <c r="O48" s="6" t="s">
        <v>19</v>
      </c>
      <c r="P48" s="9">
        <v>10</v>
      </c>
      <c r="Q48" s="11">
        <v>46086</v>
      </c>
      <c r="R48" s="11">
        <v>46086</v>
      </c>
      <c r="S48" s="1" t="s">
        <v>8</v>
      </c>
      <c r="T48" s="1"/>
      <c r="U48" s="11"/>
      <c r="V48" s="8"/>
    </row>
    <row r="49" spans="10:22" x14ac:dyDescent="0.3">
      <c r="L49" s="4" t="s">
        <v>60</v>
      </c>
      <c r="M49" s="20" t="str">
        <f>IF(TB_TAREFAS[[#This Row],[Atividade]]="","-",VLOOKUP(TB_TAREFAS[[#This Row],[Atividade]],TB_ATIVIDADES[[Atividade]:[Fase]],2,FALSE))</f>
        <v>F1-DESENV</v>
      </c>
      <c r="N49" s="5" t="s">
        <v>51</v>
      </c>
      <c r="O49" s="6" t="s">
        <v>19</v>
      </c>
      <c r="P49" s="9">
        <v>5</v>
      </c>
      <c r="Q49" s="11">
        <v>46086</v>
      </c>
      <c r="R49" s="11">
        <v>46086</v>
      </c>
      <c r="S49" s="1" t="s">
        <v>8</v>
      </c>
      <c r="T49" s="1"/>
      <c r="U49" s="11"/>
      <c r="V49" s="8"/>
    </row>
    <row r="50" spans="10:22" ht="28.8" x14ac:dyDescent="0.3">
      <c r="L50" s="4" t="s">
        <v>61</v>
      </c>
      <c r="M50" s="20" t="str">
        <f>IF(TB_TAREFAS[[#This Row],[Atividade]]="","-",VLOOKUP(TB_TAREFAS[[#This Row],[Atividade]],TB_ATIVIDADES[[Atividade]:[Fase]],2,FALSE))</f>
        <v>F1-DESENV</v>
      </c>
      <c r="N50" s="5" t="s">
        <v>7</v>
      </c>
      <c r="O50" s="6" t="s">
        <v>5</v>
      </c>
      <c r="P50" s="9">
        <v>30</v>
      </c>
      <c r="Q50" s="11">
        <v>46087</v>
      </c>
      <c r="R50" s="11">
        <v>46087</v>
      </c>
      <c r="S50" s="1" t="s">
        <v>8</v>
      </c>
      <c r="T50" s="1"/>
      <c r="U50" s="11"/>
      <c r="V50" s="8"/>
    </row>
    <row r="51" spans="10:22" ht="28.8" x14ac:dyDescent="0.3">
      <c r="L51" s="4" t="s">
        <v>61</v>
      </c>
      <c r="M51" s="20" t="str">
        <f>IF(TB_TAREFAS[[#This Row],[Atividade]]="","-",VLOOKUP(TB_TAREFAS[[#This Row],[Atividade]],TB_ATIVIDADES[[Atividade]:[Fase]],2,FALSE))</f>
        <v>F1-DESENV</v>
      </c>
      <c r="N51" s="5" t="s">
        <v>36</v>
      </c>
      <c r="O51" s="6" t="s">
        <v>6</v>
      </c>
      <c r="P51" s="9">
        <v>20</v>
      </c>
      <c r="Q51" s="11">
        <v>46087</v>
      </c>
      <c r="R51" s="11">
        <v>46087</v>
      </c>
      <c r="S51" s="1" t="s">
        <v>8</v>
      </c>
      <c r="T51" s="1"/>
      <c r="U51" s="11"/>
      <c r="V51" s="8"/>
    </row>
    <row r="52" spans="10:22" ht="28.8" x14ac:dyDescent="0.3">
      <c r="L52" s="4" t="s">
        <v>61</v>
      </c>
      <c r="M52" s="20" t="str">
        <f>IF(TB_TAREFAS[[#This Row],[Atividade]]="","-",VLOOKUP(TB_TAREFAS[[#This Row],[Atividade]],TB_ATIVIDADES[[Atividade]:[Fase]],2,FALSE))</f>
        <v>F1-DESENV</v>
      </c>
      <c r="N52" s="5" t="s">
        <v>23</v>
      </c>
      <c r="O52" s="6" t="s">
        <v>6</v>
      </c>
      <c r="P52" s="9">
        <v>30</v>
      </c>
      <c r="Q52" s="11">
        <v>46087</v>
      </c>
      <c r="R52" s="11">
        <v>46087</v>
      </c>
      <c r="S52" s="1" t="s">
        <v>8</v>
      </c>
      <c r="T52" s="1"/>
      <c r="U52" s="11"/>
      <c r="V52" s="8"/>
    </row>
    <row r="53" spans="10:22" ht="43.2" x14ac:dyDescent="0.3">
      <c r="L53" s="4" t="s">
        <v>61</v>
      </c>
      <c r="M53" s="20" t="str">
        <f>IF(TB_TAREFAS[[#This Row],[Atividade]]="","-",VLOOKUP(TB_TAREFAS[[#This Row],[Atividade]],TB_ATIVIDADES[[Atividade]:[Fase]],2,FALSE))</f>
        <v>F1-DESENV</v>
      </c>
      <c r="N53" s="5" t="s">
        <v>38</v>
      </c>
      <c r="O53" s="6" t="s">
        <v>6</v>
      </c>
      <c r="P53" s="9">
        <v>20</v>
      </c>
      <c r="Q53" s="11">
        <v>46087</v>
      </c>
      <c r="R53" s="11">
        <v>46087</v>
      </c>
      <c r="S53" s="1" t="s">
        <v>8</v>
      </c>
      <c r="T53" s="1"/>
      <c r="U53" s="11"/>
      <c r="V53" s="8"/>
    </row>
    <row r="54" spans="10:22" ht="43.2" x14ac:dyDescent="0.3">
      <c r="L54" s="4" t="s">
        <v>61</v>
      </c>
      <c r="M54" s="20" t="str">
        <f>IF(TB_TAREFAS[[#This Row],[Atividade]]="","-",VLOOKUP(TB_TAREFAS[[#This Row],[Atividade]],TB_ATIVIDADES[[Atividade]:[Fase]],2,FALSE))</f>
        <v>F1-DESENV</v>
      </c>
      <c r="N54" s="5" t="s">
        <v>39</v>
      </c>
      <c r="O54" s="6" t="s">
        <v>6</v>
      </c>
      <c r="P54" s="9">
        <v>20</v>
      </c>
      <c r="Q54" s="11">
        <v>46087</v>
      </c>
      <c r="R54" s="11">
        <v>46087</v>
      </c>
      <c r="S54" s="1" t="s">
        <v>8</v>
      </c>
      <c r="T54" s="1"/>
      <c r="U54" s="11"/>
      <c r="V54" s="8"/>
    </row>
    <row r="55" spans="10:22" ht="28.8" x14ac:dyDescent="0.3">
      <c r="J55" s="12"/>
      <c r="L55" s="4" t="s">
        <v>61</v>
      </c>
      <c r="M55" s="20" t="str">
        <f>IF(TB_TAREFAS[[#This Row],[Atividade]]="","-",VLOOKUP(TB_TAREFAS[[#This Row],[Atividade]],TB_ATIVIDADES[[Atividade]:[Fase]],2,FALSE))</f>
        <v>F1-DESENV</v>
      </c>
      <c r="N55" s="5" t="s">
        <v>20</v>
      </c>
      <c r="O55" s="6" t="s">
        <v>19</v>
      </c>
      <c r="P55" s="9">
        <v>20</v>
      </c>
      <c r="Q55" s="11">
        <v>46087</v>
      </c>
      <c r="R55" s="11">
        <v>46087</v>
      </c>
      <c r="S55" s="1" t="s">
        <v>8</v>
      </c>
      <c r="T55" s="1"/>
      <c r="U55" s="11"/>
      <c r="V55" s="8"/>
    </row>
    <row r="56" spans="10:22" ht="28.8" x14ac:dyDescent="0.3">
      <c r="L56" s="4" t="s">
        <v>61</v>
      </c>
      <c r="M56" s="20" t="str">
        <f>IF(TB_TAREFAS[[#This Row],[Atividade]]="","-",VLOOKUP(TB_TAREFAS[[#This Row],[Atividade]],TB_ATIVIDADES[[Atividade]:[Fase]],2,FALSE))</f>
        <v>F1-DESENV</v>
      </c>
      <c r="N56" s="5" t="s">
        <v>51</v>
      </c>
      <c r="O56" s="6" t="s">
        <v>19</v>
      </c>
      <c r="P56" s="9">
        <v>5</v>
      </c>
      <c r="Q56" s="11">
        <v>46087</v>
      </c>
      <c r="R56" s="11">
        <v>46087</v>
      </c>
      <c r="S56" s="1" t="s">
        <v>8</v>
      </c>
      <c r="T56" s="1"/>
      <c r="U56" s="11"/>
      <c r="V56" s="8"/>
    </row>
    <row r="57" spans="10:22" x14ac:dyDescent="0.3">
      <c r="L57" s="4" t="s">
        <v>62</v>
      </c>
      <c r="M57" s="20" t="str">
        <f>IF(TB_TAREFAS[[#This Row],[Atividade]]="","-",VLOOKUP(TB_TAREFAS[[#This Row],[Atividade]],TB_ATIVIDADES[[Atividade]:[Fase]],2,FALSE))</f>
        <v>F1-DESENV</v>
      </c>
      <c r="N57" s="5" t="s">
        <v>28</v>
      </c>
      <c r="O57" s="6" t="s">
        <v>5</v>
      </c>
      <c r="P57" s="9">
        <v>30</v>
      </c>
      <c r="Q57" s="11">
        <v>46087</v>
      </c>
      <c r="R57" s="11">
        <v>46087</v>
      </c>
      <c r="S57" s="1" t="s">
        <v>8</v>
      </c>
      <c r="T57" s="1"/>
      <c r="U57" s="11"/>
      <c r="V57" s="8"/>
    </row>
    <row r="58" spans="10:22" ht="43.2" x14ac:dyDescent="0.3">
      <c r="J58" s="12"/>
      <c r="L58" s="4" t="s">
        <v>62</v>
      </c>
      <c r="M58" s="20" t="str">
        <f>IF(TB_TAREFAS[[#This Row],[Atividade]]="","-",VLOOKUP(TB_TAREFAS[[#This Row],[Atividade]],TB_ATIVIDADES[[Atividade]:[Fase]],2,FALSE))</f>
        <v>F1-DESENV</v>
      </c>
      <c r="N58" s="5" t="s">
        <v>40</v>
      </c>
      <c r="O58" s="6" t="s">
        <v>6</v>
      </c>
      <c r="P58" s="9">
        <v>30</v>
      </c>
      <c r="Q58" s="11">
        <v>46087</v>
      </c>
      <c r="R58" s="11">
        <v>46087</v>
      </c>
      <c r="S58" s="1" t="s">
        <v>8</v>
      </c>
      <c r="T58" s="1"/>
      <c r="U58" s="11"/>
      <c r="V58" s="8"/>
    </row>
    <row r="59" spans="10:22" ht="57.6" x14ac:dyDescent="0.3">
      <c r="L59" s="4" t="s">
        <v>62</v>
      </c>
      <c r="M59" s="20" t="str">
        <f>IF(TB_TAREFAS[[#This Row],[Atividade]]="","-",VLOOKUP(TB_TAREFAS[[#This Row],[Atividade]],TB_ATIVIDADES[[Atividade]:[Fase]],2,FALSE))</f>
        <v>F1-DESENV</v>
      </c>
      <c r="N59" s="5" t="s">
        <v>41</v>
      </c>
      <c r="O59" s="6" t="s">
        <v>6</v>
      </c>
      <c r="P59" s="9">
        <v>10</v>
      </c>
      <c r="Q59" s="11">
        <v>46087</v>
      </c>
      <c r="R59" s="11">
        <v>46087</v>
      </c>
      <c r="S59" s="1" t="s">
        <v>8</v>
      </c>
      <c r="T59" s="1"/>
      <c r="U59" s="11"/>
      <c r="V59" s="8"/>
    </row>
    <row r="60" spans="10:22" x14ac:dyDescent="0.3">
      <c r="L60" s="4" t="s">
        <v>62</v>
      </c>
      <c r="M60" s="20" t="str">
        <f>IF(TB_TAREFAS[[#This Row],[Atividade]]="","-",VLOOKUP(TB_TAREFAS[[#This Row],[Atividade]],TB_ATIVIDADES[[Atividade]:[Fase]],2,FALSE))</f>
        <v>F1-DESENV</v>
      </c>
      <c r="N60" s="5" t="s">
        <v>20</v>
      </c>
      <c r="O60" s="6" t="s">
        <v>19</v>
      </c>
      <c r="P60" s="9">
        <v>10</v>
      </c>
      <c r="Q60" s="11">
        <v>46087</v>
      </c>
      <c r="R60" s="11">
        <v>46087</v>
      </c>
      <c r="S60" s="1" t="s">
        <v>8</v>
      </c>
      <c r="T60" s="1"/>
      <c r="U60" s="11"/>
      <c r="V60" s="8"/>
    </row>
    <row r="61" spans="10:22" x14ac:dyDescent="0.3">
      <c r="L61" s="4" t="s">
        <v>62</v>
      </c>
      <c r="M61" s="20" t="str">
        <f>IF(TB_TAREFAS[[#This Row],[Atividade]]="","-",VLOOKUP(TB_TAREFAS[[#This Row],[Atividade]],TB_ATIVIDADES[[Atividade]:[Fase]],2,FALSE))</f>
        <v>F1-DESENV</v>
      </c>
      <c r="N61" s="5" t="s">
        <v>51</v>
      </c>
      <c r="O61" s="6" t="s">
        <v>19</v>
      </c>
      <c r="P61" s="9">
        <v>5</v>
      </c>
      <c r="Q61" s="11">
        <v>46087</v>
      </c>
      <c r="R61" s="11">
        <v>46087</v>
      </c>
      <c r="S61" s="1" t="s">
        <v>8</v>
      </c>
      <c r="T61" s="1"/>
      <c r="U61" s="11"/>
      <c r="V61" s="8"/>
    </row>
    <row r="62" spans="10:22" ht="28.8" x14ac:dyDescent="0.3">
      <c r="J62" s="12"/>
      <c r="L62" s="4" t="s">
        <v>66</v>
      </c>
      <c r="M62" s="20" t="str">
        <f>IF(TB_TAREFAS[[#This Row],[Atividade]]="","-",VLOOKUP(TB_TAREFAS[[#This Row],[Atividade]],TB_ATIVIDADES[[Atividade]:[Fase]],2,FALSE))</f>
        <v>F1-DESENV</v>
      </c>
      <c r="N62" s="5" t="s">
        <v>7</v>
      </c>
      <c r="O62" s="6" t="s">
        <v>5</v>
      </c>
      <c r="P62" s="9">
        <v>60</v>
      </c>
      <c r="Q62" s="11">
        <v>46088</v>
      </c>
      <c r="R62" s="11">
        <v>46088</v>
      </c>
      <c r="S62" s="1" t="s">
        <v>8</v>
      </c>
      <c r="T62" s="1"/>
      <c r="U62" s="11"/>
      <c r="V62" s="8"/>
    </row>
    <row r="63" spans="10:22" ht="28.8" x14ac:dyDescent="0.3">
      <c r="L63" s="4" t="s">
        <v>66</v>
      </c>
      <c r="M63" s="20" t="str">
        <f>IF(TB_TAREFAS[[#This Row],[Atividade]]="","-",VLOOKUP(TB_TAREFAS[[#This Row],[Atividade]],TB_ATIVIDADES[[Atividade]:[Fase]],2,FALSE))</f>
        <v>F1-DESENV</v>
      </c>
      <c r="N63" s="5" t="s">
        <v>42</v>
      </c>
      <c r="O63" s="6" t="s">
        <v>6</v>
      </c>
      <c r="P63" s="9">
        <v>20</v>
      </c>
      <c r="Q63" s="11">
        <v>46088</v>
      </c>
      <c r="R63" s="11">
        <v>46088</v>
      </c>
      <c r="S63" s="1" t="s">
        <v>8</v>
      </c>
      <c r="T63" s="1"/>
      <c r="U63" s="11"/>
      <c r="V63" s="8"/>
    </row>
    <row r="64" spans="10:22" ht="86.4" x14ac:dyDescent="0.3">
      <c r="L64" s="4" t="s">
        <v>66</v>
      </c>
      <c r="M64" s="20" t="str">
        <f>IF(TB_TAREFAS[[#This Row],[Atividade]]="","-",VLOOKUP(TB_TAREFAS[[#This Row],[Atividade]],TB_ATIVIDADES[[Atividade]:[Fase]],2,FALSE))</f>
        <v>F1-DESENV</v>
      </c>
      <c r="N64" s="5" t="s">
        <v>44</v>
      </c>
      <c r="O64" s="6" t="s">
        <v>6</v>
      </c>
      <c r="P64" s="9">
        <v>60</v>
      </c>
      <c r="Q64" s="11">
        <v>46088</v>
      </c>
      <c r="R64" s="11">
        <v>46088</v>
      </c>
      <c r="S64" s="1" t="s">
        <v>8</v>
      </c>
      <c r="T64" s="1"/>
      <c r="U64" s="11"/>
      <c r="V64" s="8"/>
    </row>
    <row r="65" spans="10:22" ht="28.8" x14ac:dyDescent="0.3">
      <c r="L65" s="4" t="s">
        <v>66</v>
      </c>
      <c r="M65" s="20" t="str">
        <f>IF(TB_TAREFAS[[#This Row],[Atividade]]="","-",VLOOKUP(TB_TAREFAS[[#This Row],[Atividade]],TB_ATIVIDADES[[Atividade]:[Fase]],2,FALSE))</f>
        <v>F1-DESENV</v>
      </c>
      <c r="N65" s="5" t="s">
        <v>43</v>
      </c>
      <c r="O65" s="6" t="s">
        <v>6</v>
      </c>
      <c r="P65" s="9">
        <v>60</v>
      </c>
      <c r="Q65" s="11">
        <v>46088</v>
      </c>
      <c r="R65" s="11">
        <v>46088</v>
      </c>
      <c r="S65" s="1" t="s">
        <v>8</v>
      </c>
      <c r="T65" s="1"/>
      <c r="U65" s="11"/>
      <c r="V65" s="8"/>
    </row>
    <row r="66" spans="10:22" ht="28.8" x14ac:dyDescent="0.3">
      <c r="L66" s="4" t="s">
        <v>63</v>
      </c>
      <c r="M66" s="20" t="str">
        <f>IF(TB_TAREFAS[[#This Row],[Atividade]]="","-",VLOOKUP(TB_TAREFAS[[#This Row],[Atividade]],TB_ATIVIDADES[[Atividade]:[Fase]],2,FALSE))</f>
        <v>F1-DESENV</v>
      </c>
      <c r="N66" s="5" t="s">
        <v>45</v>
      </c>
      <c r="O66" s="6" t="s">
        <v>6</v>
      </c>
      <c r="P66" s="9">
        <v>40</v>
      </c>
      <c r="Q66" s="11">
        <v>46089</v>
      </c>
      <c r="R66" s="11">
        <v>46089</v>
      </c>
      <c r="S66" s="1" t="s">
        <v>8</v>
      </c>
      <c r="T66" s="1"/>
      <c r="U66" s="11"/>
      <c r="V66" s="8"/>
    </row>
    <row r="67" spans="10:22" ht="28.8" x14ac:dyDescent="0.3">
      <c r="L67" s="4" t="s">
        <v>66</v>
      </c>
      <c r="M67" s="20" t="str">
        <f>IF(TB_TAREFAS[[#This Row],[Atividade]]="","-",VLOOKUP(TB_TAREFAS[[#This Row],[Atividade]],TB_ATIVIDADES[[Atividade]:[Fase]],2,FALSE))</f>
        <v>F1-DESENV</v>
      </c>
      <c r="N67" s="5" t="s">
        <v>46</v>
      </c>
      <c r="O67" s="6" t="s">
        <v>6</v>
      </c>
      <c r="P67" s="9">
        <v>30</v>
      </c>
      <c r="Q67" s="11">
        <v>46089</v>
      </c>
      <c r="R67" s="11">
        <v>46089</v>
      </c>
      <c r="S67" s="1" t="s">
        <v>8</v>
      </c>
      <c r="T67" s="1"/>
      <c r="U67" s="11"/>
      <c r="V67" s="8"/>
    </row>
    <row r="68" spans="10:22" ht="28.8" x14ac:dyDescent="0.3">
      <c r="J68" s="12"/>
      <c r="L68" s="4" t="s">
        <v>66</v>
      </c>
      <c r="M68" s="20" t="str">
        <f>IF(TB_TAREFAS[[#This Row],[Atividade]]="","-",VLOOKUP(TB_TAREFAS[[#This Row],[Atividade]],TB_ATIVIDADES[[Atividade]:[Fase]],2,FALSE))</f>
        <v>F1-DESENV</v>
      </c>
      <c r="N68" s="5" t="s">
        <v>20</v>
      </c>
      <c r="O68" s="6" t="s">
        <v>19</v>
      </c>
      <c r="P68" s="9">
        <v>30</v>
      </c>
      <c r="Q68" s="11">
        <v>46089</v>
      </c>
      <c r="R68" s="11">
        <v>46089</v>
      </c>
      <c r="S68" s="1" t="s">
        <v>8</v>
      </c>
      <c r="T68" s="1"/>
      <c r="U68" s="11"/>
      <c r="V68" s="8"/>
    </row>
    <row r="69" spans="10:22" ht="28.8" x14ac:dyDescent="0.3">
      <c r="L69" s="4" t="s">
        <v>66</v>
      </c>
      <c r="M69" s="20" t="str">
        <f>IF(TB_TAREFAS[[#This Row],[Atividade]]="","-",VLOOKUP(TB_TAREFAS[[#This Row],[Atividade]],TB_ATIVIDADES[[Atividade]:[Fase]],2,FALSE))</f>
        <v>F1-DESENV</v>
      </c>
      <c r="N69" s="5" t="s">
        <v>51</v>
      </c>
      <c r="O69" s="6" t="s">
        <v>19</v>
      </c>
      <c r="P69" s="9">
        <v>10</v>
      </c>
      <c r="Q69" s="11">
        <v>46089</v>
      </c>
      <c r="R69" s="11">
        <v>46089</v>
      </c>
      <c r="S69" s="1" t="s">
        <v>8</v>
      </c>
      <c r="T69" s="1"/>
      <c r="U69" s="11"/>
      <c r="V69" s="8"/>
    </row>
    <row r="70" spans="10:22" ht="28.8" x14ac:dyDescent="0.3">
      <c r="J70" s="12"/>
      <c r="L70" s="4" t="s">
        <v>67</v>
      </c>
      <c r="M70" s="20" t="str">
        <f>IF(TB_TAREFAS[[#This Row],[Atividade]]="","-",VLOOKUP(TB_TAREFAS[[#This Row],[Atividade]],TB_ATIVIDADES[[Atividade]:[Fase]],2,FALSE))</f>
        <v>F1-DESENV</v>
      </c>
      <c r="N70" s="5" t="s">
        <v>7</v>
      </c>
      <c r="O70" s="6" t="s">
        <v>5</v>
      </c>
      <c r="P70" s="9">
        <v>60</v>
      </c>
      <c r="Q70" s="11">
        <v>46089</v>
      </c>
      <c r="R70" s="11">
        <v>46089</v>
      </c>
      <c r="S70" s="1" t="s">
        <v>8</v>
      </c>
      <c r="T70" s="1"/>
      <c r="U70" s="11"/>
      <c r="V70" s="8"/>
    </row>
    <row r="71" spans="10:22" ht="57.6" x14ac:dyDescent="0.3">
      <c r="J71" s="12"/>
      <c r="L71" s="4" t="s">
        <v>67</v>
      </c>
      <c r="M71" s="20" t="str">
        <f>IF(TB_TAREFAS[[#This Row],[Atividade]]="","-",VLOOKUP(TB_TAREFAS[[#This Row],[Atividade]],TB_ATIVIDADES[[Atividade]:[Fase]],2,FALSE))</f>
        <v>F1-DESENV</v>
      </c>
      <c r="N71" s="5" t="s">
        <v>47</v>
      </c>
      <c r="O71" s="6" t="s">
        <v>6</v>
      </c>
      <c r="P71" s="9">
        <v>60</v>
      </c>
      <c r="Q71" s="11">
        <v>46089</v>
      </c>
      <c r="R71" s="11">
        <v>46089</v>
      </c>
      <c r="S71" s="1" t="s">
        <v>8</v>
      </c>
      <c r="T71" s="1"/>
      <c r="U71" s="11"/>
      <c r="V71" s="8"/>
    </row>
    <row r="72" spans="10:22" ht="28.8" x14ac:dyDescent="0.3">
      <c r="L72" s="4" t="s">
        <v>67</v>
      </c>
      <c r="M72" s="20" t="str">
        <f>IF(TB_TAREFAS[[#This Row],[Atividade]]="","-",VLOOKUP(TB_TAREFAS[[#This Row],[Atividade]],TB_ATIVIDADES[[Atividade]:[Fase]],2,FALSE))</f>
        <v>F1-DESENV</v>
      </c>
      <c r="N72" s="5" t="s">
        <v>43</v>
      </c>
      <c r="O72" s="6" t="s">
        <v>6</v>
      </c>
      <c r="P72" s="9">
        <v>60</v>
      </c>
      <c r="Q72" s="11">
        <v>46090</v>
      </c>
      <c r="R72" s="11">
        <v>46090</v>
      </c>
      <c r="S72" s="1" t="s">
        <v>8</v>
      </c>
      <c r="T72" s="1"/>
      <c r="U72" s="11"/>
      <c r="V72" s="8"/>
    </row>
    <row r="73" spans="10:22" ht="28.8" x14ac:dyDescent="0.3">
      <c r="L73" s="4" t="s">
        <v>64</v>
      </c>
      <c r="M73" s="20" t="str">
        <f>IF(TB_TAREFAS[[#This Row],[Atividade]]="","-",VLOOKUP(TB_TAREFAS[[#This Row],[Atividade]],TB_ATIVIDADES[[Atividade]:[Fase]],2,FALSE))</f>
        <v>F1-DESENV</v>
      </c>
      <c r="N73" s="5" t="s">
        <v>45</v>
      </c>
      <c r="O73" s="6" t="s">
        <v>6</v>
      </c>
      <c r="P73" s="9">
        <v>40</v>
      </c>
      <c r="Q73" s="11">
        <v>46090</v>
      </c>
      <c r="R73" s="11">
        <v>46090</v>
      </c>
      <c r="S73" s="1" t="s">
        <v>8</v>
      </c>
      <c r="T73" s="1"/>
      <c r="U73" s="11"/>
      <c r="V73" s="8"/>
    </row>
    <row r="74" spans="10:22" ht="28.8" x14ac:dyDescent="0.3">
      <c r="L74" s="4" t="s">
        <v>67</v>
      </c>
      <c r="M74" s="20" t="str">
        <f>IF(TB_TAREFAS[[#This Row],[Atividade]]="","-",VLOOKUP(TB_TAREFAS[[#This Row],[Atividade]],TB_ATIVIDADES[[Atividade]:[Fase]],2,FALSE))</f>
        <v>F1-DESENV</v>
      </c>
      <c r="N74" s="5" t="s">
        <v>46</v>
      </c>
      <c r="O74" s="6" t="s">
        <v>6</v>
      </c>
      <c r="P74" s="9">
        <v>30</v>
      </c>
      <c r="Q74" s="11">
        <v>46090</v>
      </c>
      <c r="R74" s="11">
        <v>46090</v>
      </c>
      <c r="S74" s="1" t="s">
        <v>8</v>
      </c>
      <c r="T74" s="1"/>
      <c r="U74" s="11"/>
      <c r="V74" s="8"/>
    </row>
    <row r="75" spans="10:22" ht="28.8" x14ac:dyDescent="0.3">
      <c r="L75" s="4" t="s">
        <v>67</v>
      </c>
      <c r="M75" s="20" t="str">
        <f>IF(TB_TAREFAS[[#This Row],[Atividade]]="","-",VLOOKUP(TB_TAREFAS[[#This Row],[Atividade]],TB_ATIVIDADES[[Atividade]:[Fase]],2,FALSE))</f>
        <v>F1-DESENV</v>
      </c>
      <c r="N75" s="5" t="s">
        <v>20</v>
      </c>
      <c r="O75" s="6" t="s">
        <v>19</v>
      </c>
      <c r="P75" s="9">
        <v>30</v>
      </c>
      <c r="Q75" s="11">
        <v>46090</v>
      </c>
      <c r="R75" s="11">
        <v>46090</v>
      </c>
      <c r="S75" s="1" t="s">
        <v>8</v>
      </c>
      <c r="T75" s="1"/>
      <c r="U75" s="11"/>
      <c r="V75" s="8"/>
    </row>
    <row r="76" spans="10:22" ht="28.8" x14ac:dyDescent="0.3">
      <c r="J76" s="12"/>
      <c r="L76" s="4" t="s">
        <v>67</v>
      </c>
      <c r="M76" s="20" t="str">
        <f>IF(TB_TAREFAS[[#This Row],[Atividade]]="","-",VLOOKUP(TB_TAREFAS[[#This Row],[Atividade]],TB_ATIVIDADES[[Atividade]:[Fase]],2,FALSE))</f>
        <v>F1-DESENV</v>
      </c>
      <c r="N76" s="5" t="s">
        <v>51</v>
      </c>
      <c r="O76" s="6" t="s">
        <v>19</v>
      </c>
      <c r="P76" s="9">
        <v>10</v>
      </c>
      <c r="Q76" s="11">
        <v>46090</v>
      </c>
      <c r="R76" s="11">
        <v>46090</v>
      </c>
      <c r="S76" s="1" t="s">
        <v>8</v>
      </c>
      <c r="T76" s="1"/>
      <c r="U76" s="11"/>
      <c r="V76" s="8"/>
    </row>
    <row r="77" spans="10:22" ht="28.8" x14ac:dyDescent="0.3">
      <c r="L77" s="4" t="s">
        <v>68</v>
      </c>
      <c r="M77" s="20" t="str">
        <f>IF(TB_TAREFAS[[#This Row],[Atividade]]="","-",VLOOKUP(TB_TAREFAS[[#This Row],[Atividade]],TB_ATIVIDADES[[Atividade]:[Fase]],2,FALSE))</f>
        <v>F1-DESENV</v>
      </c>
      <c r="N77" s="5" t="s">
        <v>7</v>
      </c>
      <c r="O77" s="6" t="s">
        <v>5</v>
      </c>
      <c r="P77" s="9">
        <v>20</v>
      </c>
      <c r="Q77" s="11">
        <v>46091</v>
      </c>
      <c r="R77" s="11">
        <v>46091</v>
      </c>
      <c r="S77" s="1" t="s">
        <v>8</v>
      </c>
      <c r="T77" s="1"/>
      <c r="U77" s="11"/>
      <c r="V77" s="8"/>
    </row>
    <row r="78" spans="10:22" ht="28.8" x14ac:dyDescent="0.3">
      <c r="L78" s="4" t="s">
        <v>68</v>
      </c>
      <c r="M78" s="20" t="str">
        <f>IF(TB_TAREFAS[[#This Row],[Atividade]]="","-",VLOOKUP(TB_TAREFAS[[#This Row],[Atividade]],TB_ATIVIDADES[[Atividade]:[Fase]],2,FALSE))</f>
        <v>F1-DESENV</v>
      </c>
      <c r="N78" s="5" t="s">
        <v>48</v>
      </c>
      <c r="O78" s="6" t="s">
        <v>6</v>
      </c>
      <c r="P78" s="9">
        <v>60</v>
      </c>
      <c r="Q78" s="11">
        <v>46091</v>
      </c>
      <c r="R78" s="11">
        <v>46091</v>
      </c>
      <c r="S78" s="1" t="s">
        <v>8</v>
      </c>
      <c r="T78" s="1"/>
      <c r="U78" s="11"/>
      <c r="V78" s="8"/>
    </row>
    <row r="79" spans="10:22" ht="28.8" x14ac:dyDescent="0.3">
      <c r="L79" s="4" t="s">
        <v>68</v>
      </c>
      <c r="M79" s="20" t="str">
        <f>IF(TB_TAREFAS[[#This Row],[Atividade]]="","-",VLOOKUP(TB_TAREFAS[[#This Row],[Atividade]],TB_ATIVIDADES[[Atividade]:[Fase]],2,FALSE))</f>
        <v>F1-DESENV</v>
      </c>
      <c r="N79" s="5" t="s">
        <v>46</v>
      </c>
      <c r="O79" s="6" t="s">
        <v>6</v>
      </c>
      <c r="P79" s="9">
        <v>20</v>
      </c>
      <c r="Q79" s="11">
        <v>46091</v>
      </c>
      <c r="R79" s="11">
        <v>46091</v>
      </c>
      <c r="S79" s="1" t="s">
        <v>8</v>
      </c>
      <c r="T79" s="1"/>
      <c r="U79" s="11"/>
      <c r="V79" s="8"/>
    </row>
    <row r="80" spans="10:22" ht="28.8" x14ac:dyDescent="0.3">
      <c r="L80" s="4" t="s">
        <v>68</v>
      </c>
      <c r="M80" s="20" t="str">
        <f>IF(TB_TAREFAS[[#This Row],[Atividade]]="","-",VLOOKUP(TB_TAREFAS[[#This Row],[Atividade]],TB_ATIVIDADES[[Atividade]:[Fase]],2,FALSE))</f>
        <v>F1-DESENV</v>
      </c>
      <c r="N80" s="5" t="s">
        <v>20</v>
      </c>
      <c r="O80" s="6" t="s">
        <v>19</v>
      </c>
      <c r="P80" s="9">
        <v>20</v>
      </c>
      <c r="Q80" s="11">
        <v>46091</v>
      </c>
      <c r="R80" s="11">
        <v>46091</v>
      </c>
      <c r="S80" s="1" t="s">
        <v>8</v>
      </c>
      <c r="T80" s="1"/>
      <c r="U80" s="11"/>
      <c r="V80" s="8"/>
    </row>
    <row r="81" spans="10:22" ht="28.8" x14ac:dyDescent="0.3">
      <c r="J81" s="12"/>
      <c r="L81" s="4" t="s">
        <v>68</v>
      </c>
      <c r="M81" s="20" t="str">
        <f>IF(TB_TAREFAS[[#This Row],[Atividade]]="","-",VLOOKUP(TB_TAREFAS[[#This Row],[Atividade]],TB_ATIVIDADES[[Atividade]:[Fase]],2,FALSE))</f>
        <v>F1-DESENV</v>
      </c>
      <c r="N81" s="5" t="s">
        <v>51</v>
      </c>
      <c r="O81" s="6" t="s">
        <v>19</v>
      </c>
      <c r="P81" s="9">
        <v>10</v>
      </c>
      <c r="Q81" s="11">
        <v>46091</v>
      </c>
      <c r="R81" s="11">
        <v>46091</v>
      </c>
      <c r="S81" s="1" t="s">
        <v>8</v>
      </c>
      <c r="T81" s="1"/>
      <c r="U81" s="11"/>
      <c r="V81" s="8"/>
    </row>
    <row r="82" spans="10:22" ht="57.6" x14ac:dyDescent="0.3">
      <c r="L82" s="4" t="s">
        <v>65</v>
      </c>
      <c r="M82" s="20" t="str">
        <f>IF(TB_TAREFAS[[#This Row],[Atividade]]="","-",VLOOKUP(TB_TAREFAS[[#This Row],[Atividade]],TB_ATIVIDADES[[Atividade]:[Fase]],2,FALSE))</f>
        <v>F1-DESENV</v>
      </c>
      <c r="N82" s="5" t="s">
        <v>49</v>
      </c>
      <c r="O82" s="6" t="s">
        <v>6</v>
      </c>
      <c r="P82" s="9">
        <v>30</v>
      </c>
      <c r="Q82" s="11">
        <v>46091</v>
      </c>
      <c r="R82" s="11">
        <v>46091</v>
      </c>
      <c r="S82" s="1" t="s">
        <v>8</v>
      </c>
      <c r="T82" s="1"/>
      <c r="U82" s="11"/>
      <c r="V82" s="8"/>
    </row>
    <row r="83" spans="10:22" ht="57.6" x14ac:dyDescent="0.3">
      <c r="L83" s="4" t="s">
        <v>65</v>
      </c>
      <c r="M83" s="20" t="str">
        <f>IF(TB_TAREFAS[[#This Row],[Atividade]]="","-",VLOOKUP(TB_TAREFAS[[#This Row],[Atividade]],TB_ATIVIDADES[[Atividade]:[Fase]],2,FALSE))</f>
        <v>F1-DESENV</v>
      </c>
      <c r="N83" s="5" t="s">
        <v>50</v>
      </c>
      <c r="O83" s="6" t="s">
        <v>6</v>
      </c>
      <c r="P83" s="9">
        <v>20</v>
      </c>
      <c r="Q83" s="11">
        <v>46091</v>
      </c>
      <c r="R83" s="11">
        <v>46091</v>
      </c>
      <c r="S83" s="1" t="s">
        <v>8</v>
      </c>
      <c r="T83" s="1"/>
      <c r="U83" s="11"/>
      <c r="V83" s="8"/>
    </row>
    <row r="84" spans="10:22" x14ac:dyDescent="0.3">
      <c r="L84" s="4" t="s">
        <v>65</v>
      </c>
      <c r="M84" s="20" t="str">
        <f>IF(TB_TAREFAS[[#This Row],[Atividade]]="","-",VLOOKUP(TB_TAREFAS[[#This Row],[Atividade]],TB_ATIVIDADES[[Atividade]:[Fase]],2,FALSE))</f>
        <v>F1-DESENV</v>
      </c>
      <c r="N84" s="5" t="s">
        <v>20</v>
      </c>
      <c r="O84" s="6" t="s">
        <v>19</v>
      </c>
      <c r="P84" s="9">
        <v>20</v>
      </c>
      <c r="Q84" s="11">
        <v>46091</v>
      </c>
      <c r="R84" s="11">
        <v>46091</v>
      </c>
      <c r="S84" s="1" t="s">
        <v>8</v>
      </c>
      <c r="T84" s="1"/>
      <c r="U84" s="11"/>
      <c r="V84" s="8"/>
    </row>
    <row r="85" spans="10:22" x14ac:dyDescent="0.3">
      <c r="J85" s="12"/>
      <c r="L85" s="4" t="s">
        <v>65</v>
      </c>
      <c r="M85" s="20" t="str">
        <f>IF(TB_TAREFAS[[#This Row],[Atividade]]="","-",VLOOKUP(TB_TAREFAS[[#This Row],[Atividade]],TB_ATIVIDADES[[Atividade]:[Fase]],2,FALSE))</f>
        <v>F1-DESENV</v>
      </c>
      <c r="N85" s="5" t="s">
        <v>51</v>
      </c>
      <c r="O85" s="6" t="s">
        <v>19</v>
      </c>
      <c r="P85" s="9">
        <v>10</v>
      </c>
      <c r="Q85" s="11">
        <v>46091</v>
      </c>
      <c r="R85" s="11">
        <v>46091</v>
      </c>
      <c r="S85" s="1" t="s">
        <v>8</v>
      </c>
      <c r="T85" s="1"/>
      <c r="U85" s="11"/>
      <c r="V85" s="8"/>
    </row>
    <row r="86" spans="10:22" x14ac:dyDescent="0.3">
      <c r="L86" s="4" t="s">
        <v>71</v>
      </c>
      <c r="M86" s="20" t="str">
        <f>IF(TB_TAREFAS[[#This Row],[Atividade]]="","-",VLOOKUP(TB_TAREFAS[[#This Row],[Atividade]],TB_ATIVIDADES[[Atividade]:[Fase]],2,FALSE))</f>
        <v>F2-TESTE</v>
      </c>
      <c r="N86" s="5" t="s">
        <v>20</v>
      </c>
      <c r="O86" s="6" t="s">
        <v>79</v>
      </c>
      <c r="P86" s="9">
        <v>180</v>
      </c>
      <c r="Q86" s="11">
        <v>46092</v>
      </c>
      <c r="R86" s="11">
        <v>46092</v>
      </c>
      <c r="S86" s="1" t="s">
        <v>8</v>
      </c>
      <c r="T86" s="1"/>
      <c r="U86" s="11"/>
      <c r="V86" s="8"/>
    </row>
    <row r="87" spans="10:22" x14ac:dyDescent="0.3">
      <c r="L87" s="4" t="s">
        <v>71</v>
      </c>
      <c r="M87" s="20" t="str">
        <f>IF(TB_TAREFAS[[#This Row],[Atividade]]="","-",VLOOKUP(TB_TAREFAS[[#This Row],[Atividade]],TB_ATIVIDADES[[Atividade]:[Fase]],2,FALSE))</f>
        <v>F2-TESTE</v>
      </c>
      <c r="N87" s="5" t="s">
        <v>21</v>
      </c>
      <c r="O87" s="6" t="s">
        <v>79</v>
      </c>
      <c r="P87" s="9">
        <v>30</v>
      </c>
      <c r="Q87" s="11">
        <v>46092</v>
      </c>
      <c r="R87" s="11">
        <v>46092</v>
      </c>
      <c r="S87" s="1" t="s">
        <v>8</v>
      </c>
      <c r="T87" s="1"/>
      <c r="U87" s="11"/>
      <c r="V87" s="8"/>
    </row>
    <row r="88" spans="10:22" ht="28.8" x14ac:dyDescent="0.3">
      <c r="L88" s="4" t="s">
        <v>71</v>
      </c>
      <c r="M88" s="20" t="str">
        <f>IF(TB_TAREFAS[[#This Row],[Atividade]]="","-",VLOOKUP(TB_TAREFAS[[#This Row],[Atividade]],TB_ATIVIDADES[[Atividade]:[Fase]],2,FALSE))</f>
        <v>F2-TESTE</v>
      </c>
      <c r="N88" s="5" t="s">
        <v>80</v>
      </c>
      <c r="O88" s="6" t="s">
        <v>79</v>
      </c>
      <c r="P88" s="9">
        <v>180</v>
      </c>
      <c r="Q88" s="11">
        <v>46093</v>
      </c>
      <c r="R88" s="11">
        <v>46093</v>
      </c>
      <c r="S88" s="1" t="s">
        <v>8</v>
      </c>
      <c r="T88" s="1"/>
      <c r="U88" s="11"/>
      <c r="V88" s="8"/>
    </row>
    <row r="89" spans="10:22" ht="43.2" x14ac:dyDescent="0.3">
      <c r="L89" s="4" t="s">
        <v>71</v>
      </c>
      <c r="M89" s="20" t="str">
        <f>IF(TB_TAREFAS[[#This Row],[Atividade]]="","-",VLOOKUP(TB_TAREFAS[[#This Row],[Atividade]],TB_ATIVIDADES[[Atividade]:[Fase]],2,FALSE))</f>
        <v>F2-TESTE</v>
      </c>
      <c r="N89" s="5" t="s">
        <v>81</v>
      </c>
      <c r="O89" s="6" t="s">
        <v>79</v>
      </c>
      <c r="P89" s="9">
        <v>30</v>
      </c>
      <c r="Q89" s="11">
        <v>46093</v>
      </c>
      <c r="R89" s="11">
        <v>46093</v>
      </c>
      <c r="S89" s="1" t="s">
        <v>8</v>
      </c>
      <c r="T89" s="1"/>
      <c r="U89" s="11"/>
      <c r="V89" s="6"/>
    </row>
    <row r="90" spans="10:22" ht="28.8" x14ac:dyDescent="0.3">
      <c r="L90" s="4" t="s">
        <v>72</v>
      </c>
      <c r="M90" s="20" t="str">
        <f>IF(TB_TAREFAS[[#This Row],[Atividade]]="","-",VLOOKUP(TB_TAREFAS[[#This Row],[Atividade]],TB_ATIVIDADES[[Atividade]:[Fase]],2,FALSE))</f>
        <v>F3-LIBERAÇÃO</v>
      </c>
      <c r="N90" s="5" t="s">
        <v>83</v>
      </c>
      <c r="O90" s="6" t="s">
        <v>84</v>
      </c>
      <c r="P90" s="9">
        <v>60</v>
      </c>
      <c r="Q90" s="11">
        <v>46093</v>
      </c>
      <c r="R90" s="11">
        <v>46093</v>
      </c>
      <c r="S90" s="1" t="s">
        <v>8</v>
      </c>
      <c r="T90" s="1"/>
      <c r="U90" s="11"/>
      <c r="V90" s="8"/>
    </row>
    <row r="91" spans="10:22" ht="36.6" x14ac:dyDescent="0.3">
      <c r="J91" s="12"/>
      <c r="L91" s="4" t="s">
        <v>72</v>
      </c>
      <c r="M91" s="20" t="str">
        <f>IF(TB_TAREFAS[[#This Row],[Atividade]]="","-",VLOOKUP(TB_TAREFAS[[#This Row],[Atividade]],TB_ATIVIDADES[[Atividade]:[Fase]],2,FALSE))</f>
        <v>F3-LIBERAÇÃO</v>
      </c>
      <c r="N91" s="5" t="s">
        <v>86</v>
      </c>
      <c r="O91" s="6" t="s">
        <v>84</v>
      </c>
      <c r="P91" s="9">
        <v>180</v>
      </c>
      <c r="Q91" s="11">
        <v>46093</v>
      </c>
      <c r="R91" s="11">
        <v>46093</v>
      </c>
      <c r="S91" s="1" t="s">
        <v>8</v>
      </c>
      <c r="T91" s="1"/>
      <c r="U91" s="11"/>
      <c r="V91" s="23" t="s">
        <v>108</v>
      </c>
    </row>
    <row r="92" spans="10:22" ht="36.6" x14ac:dyDescent="0.3">
      <c r="L92" s="4" t="s">
        <v>72</v>
      </c>
      <c r="M92" s="20" t="str">
        <f>IF(TB_TAREFAS[[#This Row],[Atividade]]="","-",VLOOKUP(TB_TAREFAS[[#This Row],[Atividade]],TB_ATIVIDADES[[Atividade]:[Fase]],2,FALSE))</f>
        <v>F3-LIBERAÇÃO</v>
      </c>
      <c r="N92" s="5" t="s">
        <v>85</v>
      </c>
      <c r="O92" s="6" t="s">
        <v>84</v>
      </c>
      <c r="P92" s="9">
        <v>180</v>
      </c>
      <c r="Q92" s="11">
        <v>46094</v>
      </c>
      <c r="R92" s="11">
        <v>46094</v>
      </c>
      <c r="S92" s="1" t="s">
        <v>8</v>
      </c>
      <c r="T92" s="1"/>
      <c r="U92" s="11"/>
      <c r="V92" s="23" t="s">
        <v>108</v>
      </c>
    </row>
    <row r="93" spans="10:22" ht="28.8" x14ac:dyDescent="0.3">
      <c r="L93" s="4" t="s">
        <v>72</v>
      </c>
      <c r="M93" s="20" t="str">
        <f>IF(TB_TAREFAS[[#This Row],[Atividade]]="","-",VLOOKUP(TB_TAREFAS[[#This Row],[Atividade]],TB_ATIVIDADES[[Atividade]:[Fase]],2,FALSE))</f>
        <v>F3-LIBERAÇÃO</v>
      </c>
      <c r="N93" s="5" t="s">
        <v>87</v>
      </c>
      <c r="O93" s="6" t="s">
        <v>19</v>
      </c>
      <c r="P93" s="9">
        <v>30</v>
      </c>
      <c r="Q93" s="11">
        <v>46094</v>
      </c>
      <c r="R93" s="11">
        <v>46094</v>
      </c>
      <c r="S93" s="1" t="s">
        <v>8</v>
      </c>
      <c r="T93" s="1"/>
      <c r="U93" s="11"/>
      <c r="V93" s="8"/>
    </row>
    <row r="94" spans="10:22" ht="28.8" x14ac:dyDescent="0.3">
      <c r="L94" s="4" t="s">
        <v>72</v>
      </c>
      <c r="M94" s="20" t="str">
        <f>IF(TB_TAREFAS[[#This Row],[Atividade]]="","-",VLOOKUP(TB_TAREFAS[[#This Row],[Atividade]],TB_ATIVIDADES[[Atividade]:[Fase]],2,FALSE))</f>
        <v>F3-LIBERAÇÃO</v>
      </c>
      <c r="N94" s="5" t="s">
        <v>88</v>
      </c>
      <c r="O94" s="6" t="s">
        <v>79</v>
      </c>
      <c r="P94" s="9">
        <v>30</v>
      </c>
      <c r="Q94" s="11">
        <v>46095</v>
      </c>
      <c r="R94" s="11">
        <v>46095</v>
      </c>
      <c r="S94" s="1" t="s">
        <v>8</v>
      </c>
      <c r="T94" s="1"/>
      <c r="U94" s="11"/>
      <c r="V94" s="8"/>
    </row>
    <row r="95" spans="10:22" ht="28.8" x14ac:dyDescent="0.3">
      <c r="L95" s="4" t="s">
        <v>82</v>
      </c>
      <c r="M95" s="20" t="str">
        <f>IF(TB_TAREFAS[[#This Row],[Atividade]]="","-",VLOOKUP(TB_TAREFAS[[#This Row],[Atividade]],TB_ATIVIDADES[[Atividade]:[Fase]],2,FALSE))</f>
        <v>F3-LIBERAÇÃO</v>
      </c>
      <c r="N95" s="5" t="s">
        <v>89</v>
      </c>
      <c r="O95" s="6" t="s">
        <v>90</v>
      </c>
      <c r="P95" s="9">
        <v>180</v>
      </c>
      <c r="Q95" s="11">
        <v>46095</v>
      </c>
      <c r="R95" s="11">
        <v>46095</v>
      </c>
      <c r="S95" s="1" t="s">
        <v>8</v>
      </c>
      <c r="T95" s="1"/>
      <c r="U95" s="11"/>
      <c r="V95" s="8"/>
    </row>
    <row r="96" spans="10:22" ht="28.8" x14ac:dyDescent="0.3">
      <c r="L96" s="4" t="s">
        <v>82</v>
      </c>
      <c r="M96" s="20" t="str">
        <f>IF(TB_TAREFAS[[#This Row],[Atividade]]="","-",VLOOKUP(TB_TAREFAS[[#This Row],[Atividade]],TB_ATIVIDADES[[Atividade]:[Fase]],2,FALSE))</f>
        <v>F3-LIBERAÇÃO</v>
      </c>
      <c r="N96" s="5" t="s">
        <v>91</v>
      </c>
      <c r="O96" s="6" t="s">
        <v>90</v>
      </c>
      <c r="P96" s="9">
        <v>10</v>
      </c>
      <c r="Q96" s="11">
        <v>46095</v>
      </c>
      <c r="R96" s="11">
        <v>46095</v>
      </c>
      <c r="S96" s="1" t="s">
        <v>8</v>
      </c>
      <c r="T96" s="1"/>
      <c r="U96" s="11"/>
      <c r="V96" s="8"/>
    </row>
    <row r="97" spans="12:22" ht="28.8" x14ac:dyDescent="0.3">
      <c r="L97" s="4" t="s">
        <v>92</v>
      </c>
      <c r="M97" s="20" t="str">
        <f>IF(TB_TAREFAS[[#This Row],[Atividade]]="","-",VLOOKUP(TB_TAREFAS[[#This Row],[Atividade]],TB_ATIVIDADES[[Atividade]:[Fase]],2,FALSE))</f>
        <v>F3-LIBERAÇÃO</v>
      </c>
      <c r="N97" s="5" t="s">
        <v>93</v>
      </c>
      <c r="O97" s="6" t="s">
        <v>84</v>
      </c>
      <c r="P97" s="9">
        <v>60</v>
      </c>
      <c r="Q97" s="11">
        <v>46096</v>
      </c>
      <c r="R97" s="11">
        <v>46096</v>
      </c>
      <c r="S97" s="1" t="s">
        <v>8</v>
      </c>
      <c r="T97" s="1"/>
      <c r="U97" s="11"/>
      <c r="V97" s="8"/>
    </row>
    <row r="98" spans="12:22" ht="86.4" x14ac:dyDescent="0.3">
      <c r="L98" s="4" t="s">
        <v>92</v>
      </c>
      <c r="M98" s="20" t="str">
        <f>IF(TB_TAREFAS[[#This Row],[Atividade]]="","-",VLOOKUP(TB_TAREFAS[[#This Row],[Atividade]],TB_ATIVIDADES[[Atividade]:[Fase]],2,FALSE))</f>
        <v>F3-LIBERAÇÃO</v>
      </c>
      <c r="N98" s="5" t="s">
        <v>95</v>
      </c>
      <c r="O98" s="6" t="s">
        <v>84</v>
      </c>
      <c r="P98" s="9">
        <v>60</v>
      </c>
      <c r="Q98" s="11">
        <v>46097</v>
      </c>
      <c r="R98" s="11">
        <v>46097</v>
      </c>
      <c r="S98" s="1" t="s">
        <v>8</v>
      </c>
      <c r="T98" s="1"/>
      <c r="U98" s="11"/>
      <c r="V98" s="8"/>
    </row>
    <row r="99" spans="12:22" ht="28.8" x14ac:dyDescent="0.3">
      <c r="L99" s="4" t="s">
        <v>76</v>
      </c>
      <c r="M99" s="20" t="str">
        <f>IF(TB_TAREFAS[[#This Row],[Atividade]]="","-",VLOOKUP(TB_TAREFAS[[#This Row],[Atividade]],TB_ATIVIDADES[[Atividade]:[Fase]],2,FALSE))</f>
        <v>F4-SUPORTE</v>
      </c>
      <c r="N99" s="5" t="s">
        <v>94</v>
      </c>
      <c r="O99" s="6" t="s">
        <v>84</v>
      </c>
      <c r="P99" s="9">
        <v>1770</v>
      </c>
      <c r="Q99" s="11">
        <v>46118</v>
      </c>
      <c r="R99" s="11">
        <v>46177</v>
      </c>
      <c r="S99" s="1" t="s">
        <v>8</v>
      </c>
      <c r="T99" s="1"/>
      <c r="U99" s="11"/>
      <c r="V99" s="8"/>
    </row>
    <row r="100" spans="12:22" x14ac:dyDescent="0.3">
      <c r="L100" s="4"/>
      <c r="M100" s="20" t="str">
        <f>IF(TB_TAREFAS[[#This Row],[Atividade]]="","-",VLOOKUP(TB_TAREFAS[[#This Row],[Atividade]],TB_ATIVIDADES[[Atividade]:[Fase]],2,FALSE))</f>
        <v>-</v>
      </c>
      <c r="N100" s="5"/>
      <c r="O100" s="6"/>
      <c r="P100" s="9"/>
      <c r="Q100" s="11"/>
      <c r="R100" s="11"/>
      <c r="S100" s="1"/>
      <c r="T100" s="1"/>
      <c r="U100" s="11"/>
      <c r="V100" s="8"/>
    </row>
    <row r="101" spans="12:22" x14ac:dyDescent="0.3">
      <c r="L101" s="4"/>
      <c r="M101" s="20" t="str">
        <f>IF(TB_TAREFAS[[#This Row],[Atividade]]="","-",VLOOKUP(TB_TAREFAS[[#This Row],[Atividade]],TB_ATIVIDADES[[Atividade]:[Fase]],2,FALSE))</f>
        <v>-</v>
      </c>
      <c r="N101" s="5"/>
      <c r="O101" s="6"/>
      <c r="P101" s="9"/>
      <c r="Q101" s="11"/>
      <c r="R101" s="11"/>
      <c r="S101" s="1"/>
      <c r="T101" s="1"/>
      <c r="U101" s="11"/>
      <c r="V101" s="8"/>
    </row>
  </sheetData>
  <mergeCells count="5">
    <mergeCell ref="B27:J27"/>
    <mergeCell ref="B4:J4"/>
    <mergeCell ref="L4:V4"/>
    <mergeCell ref="E2:F2"/>
    <mergeCell ref="I2:J2"/>
  </mergeCells>
  <conditionalFormatting sqref="J6:J25">
    <cfRule type="cellIs" dxfId="14" priority="19" operator="equal">
      <formula>"EM ANDAMENTO"</formula>
    </cfRule>
    <cfRule type="cellIs" dxfId="13" priority="20" operator="equal">
      <formula>"NÃO INICIADO"</formula>
    </cfRule>
    <cfRule type="cellIs" dxfId="12" priority="21" operator="equal">
      <formula>"CONCLUÍDO"</formula>
    </cfRule>
    <cfRule type="containsText" dxfId="11" priority="22" operator="containsText" text="ATRASO">
      <formula>NOT(ISERROR(SEARCH("ATRASO",J6)))</formula>
    </cfRule>
  </conditionalFormatting>
  <conditionalFormatting sqref="J29:J32">
    <cfRule type="cellIs" dxfId="10" priority="3" operator="equal">
      <formula>"EM ANDAMENTO"</formula>
    </cfRule>
    <cfRule type="cellIs" dxfId="9" priority="4" operator="equal">
      <formula>"NÃO INICIADO"</formula>
    </cfRule>
    <cfRule type="cellIs" dxfId="8" priority="5" operator="equal">
      <formula>"CONCLUÍDO"</formula>
    </cfRule>
    <cfRule type="containsText" dxfId="7" priority="6" operator="containsText" text="ATRASO">
      <formula>NOT(ISERROR(SEARCH("ATRASO",J29)))</formula>
    </cfRule>
  </conditionalFormatting>
  <conditionalFormatting sqref="S6:U101">
    <cfRule type="cellIs" dxfId="6" priority="1" operator="equal">
      <formula>"DESNECESSÁRIO"</formula>
    </cfRule>
    <cfRule type="cellIs" dxfId="5" priority="2" operator="equal">
      <formula>"EM PAUSA"</formula>
    </cfRule>
    <cfRule type="cellIs" dxfId="4" priority="15" operator="equal">
      <formula>"EM ANDAMENTO"</formula>
    </cfRule>
    <cfRule type="cellIs" dxfId="3" priority="16" operator="equal">
      <formula>"NÃO INICIADO"</formula>
    </cfRule>
    <cfRule type="cellIs" dxfId="2" priority="17" operator="equal">
      <formula>"CONCLUÍDO"</formula>
    </cfRule>
    <cfRule type="containsText" dxfId="1" priority="18" operator="containsText" text="ATRASO">
      <formula>NOT(ISERROR(SEARCH("ATRASO",S6)))</formula>
    </cfRule>
  </conditionalFormatting>
  <dataValidations count="5">
    <dataValidation type="list" allowBlank="1" showInputMessage="1" showErrorMessage="1" sqref="V89" xr:uid="{22841D81-350C-4368-959D-966DC57ED0C7}">
      <formula1>"NÃO INICIADO,EM ANDAMENTO,EM PAUSA,CONCLUÍDO"</formula1>
    </dataValidation>
    <dataValidation type="list" allowBlank="1" showInputMessage="1" showErrorMessage="1" sqref="C6:C25" xr:uid="{E2605343-5EFA-4ED8-ACAC-4001BA167666}">
      <formula1>$B$29:$B$32</formula1>
    </dataValidation>
    <dataValidation type="list" allowBlank="1" showInputMessage="1" showErrorMessage="1" sqref="O6:O101" xr:uid="{8352ACB6-56F1-4493-9594-65B9ADD98BFB}">
      <formula1>"DESIGN,FUNC,TESTE-API,TESTE-E2E,TESTE-CARGA,OUTRO"</formula1>
    </dataValidation>
    <dataValidation type="list" allowBlank="1" showInputMessage="1" showErrorMessage="1" sqref="L6:L101" xr:uid="{BFF05FD1-344A-439A-B72B-B4841D1FF994}">
      <formula1>$B$6:$B$25</formula1>
    </dataValidation>
    <dataValidation type="list" allowBlank="1" showInputMessage="1" showErrorMessage="1" sqref="S6:S101 T22:T101" xr:uid="{B4EEADDA-3F5B-4F45-894A-A3BC2CB1E5CE}">
      <formula1>"NÃO INICIADO,EM ANDAMENTO,EM PAUSA,CONCLUÍDO,DESNECESSÁRIO"</formula1>
    </dataValidation>
  </dataValidations>
  <pageMargins left="0.511811024" right="0.511811024" top="0.78740157499999996" bottom="0.78740157499999996" header="0.31496062000000002" footer="0.31496062000000002"/>
  <cellWatches>
    <cellWatch r="J6"/>
  </cellWatches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Kats de Barros</dc:creator>
  <cp:lastModifiedBy>Pedro Kats de Barros</cp:lastModifiedBy>
  <dcterms:created xsi:type="dcterms:W3CDTF">2026-03-01T07:47:48Z</dcterms:created>
  <dcterms:modified xsi:type="dcterms:W3CDTF">2026-03-05T03:43:42Z</dcterms:modified>
</cp:coreProperties>
</file>